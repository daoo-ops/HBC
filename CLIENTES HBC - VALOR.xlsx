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8b12515c40cc1c/Desktop/HBC CONSULTORIA S.A/"/>
    </mc:Choice>
  </mc:AlternateContent>
  <xr:revisionPtr revIDLastSave="16" documentId="14_{EDA809FB-52C5-4D8F-8B68-7D33D3BADC53}" xr6:coauthVersionLast="47" xr6:coauthVersionMax="47" xr10:uidLastSave="{BF8E2E82-2047-4987-81AC-C9218EA13A18}"/>
  <bookViews>
    <workbookView xWindow="-108" yWindow="-108" windowWidth="23256" windowHeight="12456" xr2:uid="{1E4A9147-A394-4E20-8AE2-95F932FC721F}"/>
  </bookViews>
  <sheets>
    <sheet name="SANTA RITA " sheetId="1" r:id="rId1"/>
    <sheet name="KM 32" sheetId="2" r:id="rId2"/>
    <sheet name="KATUETE" sheetId="3" r:id="rId3"/>
    <sheet name="COMISIONES " sheetId="4" r:id="rId4"/>
    <sheet name="SUSPENSO SIN MOV" sheetId="6" r:id="rId5"/>
    <sheet name="Hoja1" sheetId="7" r:id="rId6"/>
  </sheets>
  <definedNames>
    <definedName name="_xlnm._FilterDatabase" localSheetId="0" hidden="1">'SANTA RITA '!$A$2:$F$253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2" i="1" l="1"/>
  <c r="D262" i="1"/>
  <c r="E221" i="1"/>
  <c r="D256" i="1"/>
  <c r="D255" i="1"/>
  <c r="D253" i="1"/>
  <c r="D251" i="1"/>
  <c r="D99" i="1"/>
  <c r="D178" i="1"/>
  <c r="D151" i="1"/>
  <c r="D144" i="1"/>
  <c r="D134" i="1"/>
  <c r="D103" i="1"/>
  <c r="E20" i="2"/>
  <c r="D20" i="2"/>
  <c r="E21" i="4"/>
  <c r="D21" i="4"/>
  <c r="D62" i="1"/>
  <c r="D60" i="1"/>
  <c r="D35" i="1"/>
  <c r="D34" i="1"/>
  <c r="D16" i="1"/>
  <c r="H7" i="1"/>
  <c r="E7" i="1" s="1"/>
  <c r="D5" i="1"/>
  <c r="E266" i="1" l="1"/>
  <c r="E267" i="1" s="1"/>
</calcChain>
</file>

<file path=xl/sharedStrings.xml><?xml version="1.0" encoding="utf-8"?>
<sst xmlns="http://schemas.openxmlformats.org/spreadsheetml/2006/main" count="628" uniqueCount="408">
  <si>
    <t xml:space="preserve">Nº </t>
  </si>
  <si>
    <t>CLIENTE</t>
  </si>
  <si>
    <t>RUC</t>
  </si>
  <si>
    <t>Digiprint</t>
  </si>
  <si>
    <t xml:space="preserve">IRE GENERAL </t>
  </si>
  <si>
    <t>Agro Santa fe</t>
  </si>
  <si>
    <t xml:space="preserve">Alvorada Import, Export S.A </t>
  </si>
  <si>
    <t>Desarrollo  Plasticos SA</t>
  </si>
  <si>
    <t xml:space="preserve">Miguel Matrakas </t>
  </si>
  <si>
    <t xml:space="preserve">IRE SIMPLE </t>
  </si>
  <si>
    <t>JK Misiones SRl</t>
  </si>
  <si>
    <t xml:space="preserve">G3 Transportes S.A </t>
  </si>
  <si>
    <t xml:space="preserve">Admir Jose Valcenghi </t>
  </si>
  <si>
    <t xml:space="preserve">IRE GENERAL - IRP </t>
  </si>
  <si>
    <t>SELSON ALOISIO SCHORR</t>
  </si>
  <si>
    <t>CONTABLE</t>
  </si>
  <si>
    <t>VANDERLEI JOSE SCHORR</t>
  </si>
  <si>
    <t>OTGART SEHN</t>
  </si>
  <si>
    <t xml:space="preserve">CONTABLE </t>
  </si>
  <si>
    <t>ARNO MARQUEZ DIEL</t>
  </si>
  <si>
    <t>SERGIO SELEME</t>
  </si>
  <si>
    <t xml:space="preserve">GRUPO STUEPP S.R.L </t>
  </si>
  <si>
    <t xml:space="preserve">LEONARDO NEUNBERGER </t>
  </si>
  <si>
    <t xml:space="preserve">SERGIO POSSENTTI </t>
  </si>
  <si>
    <t xml:space="preserve">IRP SERVICIO </t>
  </si>
  <si>
    <t>ADOLFO AGUIRRE</t>
  </si>
  <si>
    <t xml:space="preserve">SONHARE SA </t>
  </si>
  <si>
    <t>GENFUT SA</t>
  </si>
  <si>
    <t xml:space="preserve">ANDRES SCOPEL </t>
  </si>
  <si>
    <t xml:space="preserve">IRES SIMPLE Y IRP </t>
  </si>
  <si>
    <t>JARLES ADRIANO BIONDO</t>
  </si>
  <si>
    <t>Marcelo Kunkel Yoner</t>
  </si>
  <si>
    <t>Electromatic Ingenieria S.A.</t>
  </si>
  <si>
    <t>Marmoleria Cristo Rey SA</t>
  </si>
  <si>
    <t>Dalazen S.A.</t>
  </si>
  <si>
    <t>Raifane Luis Kappi</t>
  </si>
  <si>
    <t>Empremdimiento Maria Cecilia SA</t>
  </si>
  <si>
    <t>Recicladora Alianza S.A</t>
  </si>
  <si>
    <t xml:space="preserve">Ignacio Schorr </t>
  </si>
  <si>
    <t xml:space="preserve">IRE GENERAL-IRP SER Y CP </t>
  </si>
  <si>
    <t>Repuestos Ag. Zotti S.A</t>
  </si>
  <si>
    <t>Alicia Martinez</t>
  </si>
  <si>
    <t>LEMIR TERESINHA SCHORR</t>
  </si>
  <si>
    <t>SEIS H S.A</t>
  </si>
  <si>
    <t xml:space="preserve">IRE CONTABLE </t>
  </si>
  <si>
    <t xml:space="preserve">IRENE GARCIA DE SA </t>
  </si>
  <si>
    <t>IRE SIMPLE</t>
  </si>
  <si>
    <t xml:space="preserve">ANDERSON ELIAS PHIPPSEN </t>
  </si>
  <si>
    <t xml:space="preserve">BIOCROP AGRO EAS </t>
  </si>
  <si>
    <t>KM KOEHLER &amp; MELERE S.R.L</t>
  </si>
  <si>
    <t>ADEMIR RICKLI</t>
  </si>
  <si>
    <t xml:space="preserve">IRE SIMPLE Y IRP CAPITAL </t>
  </si>
  <si>
    <t xml:space="preserve">COMISIO ASOC DE MUJERES </t>
  </si>
  <si>
    <t>Oldemar Nadir Vorpagel Neunfeld</t>
  </si>
  <si>
    <t xml:space="preserve">IRP Y IRE GENERAL </t>
  </si>
  <si>
    <t>Ortiz Import Export SA</t>
  </si>
  <si>
    <t>Jose Vanio Vefago</t>
  </si>
  <si>
    <t xml:space="preserve">IRE GENERAL -IRP SERV Y CAP </t>
  </si>
  <si>
    <t xml:space="preserve">Ivo Michels </t>
  </si>
  <si>
    <t xml:space="preserve">IRE SIMPLES </t>
  </si>
  <si>
    <t xml:space="preserve">Jose Nienkoetter </t>
  </si>
  <si>
    <t xml:space="preserve">IRE GENERAL S/M </t>
  </si>
  <si>
    <t>Armando Leichtweis</t>
  </si>
  <si>
    <t xml:space="preserve">Andre Valcarebghi Siqueira </t>
  </si>
  <si>
    <t xml:space="preserve">VALDERLEI MENEGAT </t>
  </si>
  <si>
    <t xml:space="preserve">EDSON LUIZ KUHN </t>
  </si>
  <si>
    <t xml:space="preserve">IRE GENERAL Y IRP </t>
  </si>
  <si>
    <t>WILLIAN PAGNOCELLI</t>
  </si>
  <si>
    <t>VILMAR RUTESATZ ABREU</t>
  </si>
  <si>
    <t xml:space="preserve">NEOMAR ESBARDELOTO </t>
  </si>
  <si>
    <t xml:space="preserve">CLUB DE LEONES </t>
  </si>
  <si>
    <t xml:space="preserve">LUCAS DINIZ CORDEIRO </t>
  </si>
  <si>
    <t xml:space="preserve">CHARLES GRAFF </t>
  </si>
  <si>
    <t xml:space="preserve">MAICON BARBOSA PEREIRA </t>
  </si>
  <si>
    <t xml:space="preserve">JOSE AUGUSTO MISKE </t>
  </si>
  <si>
    <t xml:space="preserve">Comision Vecinal los trigales </t>
  </si>
  <si>
    <t xml:space="preserve">ACREL PARAGUAY SRL </t>
  </si>
  <si>
    <t>LONASTECH EAS</t>
  </si>
  <si>
    <t>Jandira Machado</t>
  </si>
  <si>
    <t>IRE SIMLES</t>
  </si>
  <si>
    <t>Marcio Andre  Zatta</t>
  </si>
  <si>
    <t xml:space="preserve">IRP Y RE GENERAL </t>
  </si>
  <si>
    <t>Ernesto Aquino Bres</t>
  </si>
  <si>
    <t>IRE GRAL</t>
  </si>
  <si>
    <t>Eusebio Da Rocha</t>
  </si>
  <si>
    <t>Leonice Maria Schorr</t>
  </si>
  <si>
    <t>IRE SIMLES-IRP</t>
  </si>
  <si>
    <t xml:space="preserve">Vilson Schorr </t>
  </si>
  <si>
    <t xml:space="preserve">Contable </t>
  </si>
  <si>
    <t xml:space="preserve">Sergio Ademi Schorr </t>
  </si>
  <si>
    <t>Ezequiel Zocche Panatto</t>
  </si>
  <si>
    <t>Roberto Luis Neunfeld Van Der San</t>
  </si>
  <si>
    <t xml:space="preserve">Don Leopoldo Inm S.A </t>
  </si>
  <si>
    <t>ARLINDO KOCHMAM</t>
  </si>
  <si>
    <t>IRACI PAGNOCELLI</t>
  </si>
  <si>
    <t>CARLITO CHINI</t>
  </si>
  <si>
    <t>SERGIO NEUMANN</t>
  </si>
  <si>
    <t>LOECI ROLIN TEXIERA</t>
  </si>
  <si>
    <t xml:space="preserve">IVAN SELEME </t>
  </si>
  <si>
    <t>GRUPO A.V SRL</t>
  </si>
  <si>
    <t xml:space="preserve">COMISION AV 14 DE MAYO </t>
  </si>
  <si>
    <t>GABRIELI HOFFMANN</t>
  </si>
  <si>
    <t>ASOCIACION VIGILANTES</t>
  </si>
  <si>
    <t xml:space="preserve">IRE GRAL </t>
  </si>
  <si>
    <t xml:space="preserve">BENTZA SA </t>
  </si>
  <si>
    <t>Jair Costa Carlos</t>
  </si>
  <si>
    <t>Rodoeste Repuestos S.A.</t>
  </si>
  <si>
    <t>II DM S.A</t>
  </si>
  <si>
    <t>Makrometal Paraguay S.A</t>
  </si>
  <si>
    <t>LUCIA BECKER DE KEMPF</t>
  </si>
  <si>
    <t>VANDERLEI A. NEUBERGER</t>
  </si>
  <si>
    <t>COND.SILVESTRE STUEPP</t>
  </si>
  <si>
    <t>IRE SIML</t>
  </si>
  <si>
    <t>EDEMAR ADOLFO PREIS</t>
  </si>
  <si>
    <t>OMAR SELEME</t>
  </si>
  <si>
    <t xml:space="preserve">AILSON JOSE STUEPP </t>
  </si>
  <si>
    <t xml:space="preserve">IRP CAPITAL </t>
  </si>
  <si>
    <t xml:space="preserve">VERA MARIA SCHOLL </t>
  </si>
  <si>
    <t xml:space="preserve">IRACI BAMPI </t>
  </si>
  <si>
    <t xml:space="preserve">IRP / IRE SIMPLE </t>
  </si>
  <si>
    <t xml:space="preserve">AGUSTIN BRUSQUETI CHAMARRO </t>
  </si>
  <si>
    <t xml:space="preserve">IRE SIMPLE - MISIONES </t>
  </si>
  <si>
    <t xml:space="preserve">PEDRO JANDIR GALLAS </t>
  </si>
  <si>
    <t xml:space="preserve">COMITÉ AGRI UNIDOS PARA EL DESARROLLO </t>
  </si>
  <si>
    <t xml:space="preserve">D&amp;G CONSULTORIA </t>
  </si>
  <si>
    <t>Santa Rita Producciones S.A</t>
  </si>
  <si>
    <t xml:space="preserve">Feliciano Javier Matinez </t>
  </si>
  <si>
    <t xml:space="preserve">EDSON RODRIGUES MOREIRA </t>
  </si>
  <si>
    <t>RODOLFO KOEHLER</t>
  </si>
  <si>
    <t>MOACIR G. FLACH</t>
  </si>
  <si>
    <t xml:space="preserve">NELSI GUNZEL </t>
  </si>
  <si>
    <t>GIOVANE NESTOR RAMBO</t>
  </si>
  <si>
    <t>LEANDRO TEXEIRA</t>
  </si>
  <si>
    <t>ALDAIR JOSE REGINATO JUNIOR</t>
  </si>
  <si>
    <t>NANCY LIVRADA RODRIGUE</t>
  </si>
  <si>
    <t xml:space="preserve">LEONICIO NEUNFELD </t>
  </si>
  <si>
    <t xml:space="preserve">IRP </t>
  </si>
  <si>
    <t xml:space="preserve">JANIR KIELING </t>
  </si>
  <si>
    <t>ANARQUIA MOTORCYCLE EAS</t>
  </si>
  <si>
    <t>Lilia Villalba Niz</t>
  </si>
  <si>
    <t xml:space="preserve">IRE GENEARL </t>
  </si>
  <si>
    <t>Valmir de Moura</t>
  </si>
  <si>
    <t xml:space="preserve">Roberto Neunfeld </t>
  </si>
  <si>
    <t xml:space="preserve">IRE SIMPLE/IRP </t>
  </si>
  <si>
    <t>Samuel Colombo de Godoy</t>
  </si>
  <si>
    <t xml:space="preserve">IRE GENERAL  Y IRP </t>
  </si>
  <si>
    <t>Helena Rozani Pilate Rickli</t>
  </si>
  <si>
    <t>Sergio David Benitez</t>
  </si>
  <si>
    <t xml:space="preserve">IRE GENERAL  IRP </t>
  </si>
  <si>
    <t xml:space="preserve">ALDA HIGINIO DORMELES </t>
  </si>
  <si>
    <t xml:space="preserve">Memoria de la Vida S.A </t>
  </si>
  <si>
    <t>PAULO NEUBERGER</t>
  </si>
  <si>
    <t>AGRO ATENAS S.A</t>
  </si>
  <si>
    <t>VANESA CRISTINA CHINI VDA DE P.</t>
  </si>
  <si>
    <t xml:space="preserve">INKTEC PARAGUAY S.A </t>
  </si>
  <si>
    <t>COMIS ASOCIAC ESCOLAR 3827</t>
  </si>
  <si>
    <t xml:space="preserve">EXPERT </t>
  </si>
  <si>
    <t xml:space="preserve">KELLY  HOFFMANN </t>
  </si>
  <si>
    <t xml:space="preserve">IRE SIMPLE Y IRP CAP </t>
  </si>
  <si>
    <t xml:space="preserve">Adelmo Sadi </t>
  </si>
  <si>
    <t xml:space="preserve">COMISION VECINAL CAMINO A SAN VICENTE </t>
  </si>
  <si>
    <t>COMISION MUJERES SAN CAYETANO DE SANTA RITA</t>
  </si>
  <si>
    <t xml:space="preserve">HERIBERTO MELGAREJO </t>
  </si>
  <si>
    <t xml:space="preserve">Jose Alexandro Hoffmann </t>
  </si>
  <si>
    <t>Dowich S.A</t>
  </si>
  <si>
    <t>FRATRES S.A</t>
  </si>
  <si>
    <t>Elisa Arami Alderete</t>
  </si>
  <si>
    <t>COND. JOAO SELEME NETO</t>
  </si>
  <si>
    <t>SELMAR RUTSATZ</t>
  </si>
  <si>
    <t>GILBERTO JOSE SCOPEL</t>
  </si>
  <si>
    <t xml:space="preserve">LAZARO LUIZ STUEPP </t>
  </si>
  <si>
    <t xml:space="preserve">IRP CAPITAL Y SERV </t>
  </si>
  <si>
    <t>ACE ESCUELA BASICA Y SAN JOSE</t>
  </si>
  <si>
    <t xml:space="preserve">RAFAEL VEFAGO </t>
  </si>
  <si>
    <t xml:space="preserve">IRE SIMPLE-IRP </t>
  </si>
  <si>
    <t xml:space="preserve">ELASTICOS SAN JOSE SA </t>
  </si>
  <si>
    <t>GABRIELA FRANCOIS MATTE</t>
  </si>
  <si>
    <t xml:space="preserve">IRE SIMPLE EXPERT </t>
  </si>
  <si>
    <t xml:space="preserve">PARAGUAY COMUNICACIONES </t>
  </si>
  <si>
    <t xml:space="preserve">LEONICE MONTAGNHER </t>
  </si>
  <si>
    <t>JOSE ZOCCE</t>
  </si>
  <si>
    <t>Aldo Ruben Correa</t>
  </si>
  <si>
    <t>Egidio Donzelli</t>
  </si>
  <si>
    <t>Roberto Fleitas Gimenez</t>
  </si>
  <si>
    <t>CONT.</t>
  </si>
  <si>
    <t xml:space="preserve">Rosangela Hoffmann </t>
  </si>
  <si>
    <t xml:space="preserve">Contable y IRP </t>
  </si>
  <si>
    <t>Sabrina Maciel</t>
  </si>
  <si>
    <t xml:space="preserve">Sermacc S.A </t>
  </si>
  <si>
    <t xml:space="preserve">Simao Stuepp Schmidt </t>
  </si>
  <si>
    <t xml:space="preserve">IRE GENERAL y irp </t>
  </si>
  <si>
    <t xml:space="preserve">R&amp;A COM. TRADING S.A </t>
  </si>
  <si>
    <t>MARCOS DANIEL SCHORR</t>
  </si>
  <si>
    <t>VILCEU PIVA</t>
  </si>
  <si>
    <t>ASIRIA MARIA BEUREN SCHORR</t>
  </si>
  <si>
    <t xml:space="preserve">Jucelene Kottvitz </t>
  </si>
  <si>
    <t>DANIEL DA ROCHA</t>
  </si>
  <si>
    <t>IRE SIMPLE -AP</t>
  </si>
  <si>
    <t>Dimasa SA</t>
  </si>
  <si>
    <t>Leandro Valmir Huff Prass</t>
  </si>
  <si>
    <t>Junta de Saneamiento Campiña Verde</t>
  </si>
  <si>
    <t xml:space="preserve">RODRIGO DA ROCHA </t>
  </si>
  <si>
    <t>SILVESTRE STUEPP</t>
  </si>
  <si>
    <t xml:space="preserve">IRE SIMP/IRP </t>
  </si>
  <si>
    <t xml:space="preserve">COMISION NUEVA PLATA </t>
  </si>
  <si>
    <t xml:space="preserve">S/M </t>
  </si>
  <si>
    <t>EDER NIERKOWSKI</t>
  </si>
  <si>
    <t xml:space="preserve">IRE SIMPLE- IRP CAPITAL </t>
  </si>
  <si>
    <t xml:space="preserve">JHONNES ZANINI </t>
  </si>
  <si>
    <t>COMIT DISTR DE LA COLONIA</t>
  </si>
  <si>
    <t xml:space="preserve">EXPER </t>
  </si>
  <si>
    <t>ESTANCIA 3 FRONTERAS SA</t>
  </si>
  <si>
    <t xml:space="preserve">CLIENTES STA RITA </t>
  </si>
  <si>
    <t xml:space="preserve">OBLIGACION </t>
  </si>
  <si>
    <t xml:space="preserve">VALOR </t>
  </si>
  <si>
    <t xml:space="preserve">GS </t>
  </si>
  <si>
    <t>USD</t>
  </si>
  <si>
    <t xml:space="preserve">MAICO BEHNE ALIEVE </t>
  </si>
  <si>
    <t>3471100-7</t>
  </si>
  <si>
    <t>GEOVANI SEBASTIAO DE SOUZA</t>
  </si>
  <si>
    <t>3955931-9</t>
  </si>
  <si>
    <t>LOIVA SIMONE TEWES</t>
  </si>
  <si>
    <t>6943342-9</t>
  </si>
  <si>
    <t>SIDNEI JOSE HENTGES</t>
  </si>
  <si>
    <t>3752272-8</t>
  </si>
  <si>
    <t>IRP</t>
  </si>
  <si>
    <t>LUIS CARLOS ADORYAN SCHUTZ</t>
  </si>
  <si>
    <t>3285955-4</t>
  </si>
  <si>
    <t>RENALDO KAZIK SIQUEIRA</t>
  </si>
  <si>
    <t>4466645-4</t>
  </si>
  <si>
    <t>DANIELA PANATO</t>
  </si>
  <si>
    <t>6291055-8</t>
  </si>
  <si>
    <t>COMISIÓN VECINAL UNIDOS POR SAN CRISTÓBAL</t>
  </si>
  <si>
    <t>80125695-0</t>
  </si>
  <si>
    <t>CLEITON MAITTO KOLASO</t>
  </si>
  <si>
    <t>4280556-2</t>
  </si>
  <si>
    <t>CLEITON MONTEIRO ROZZI</t>
  </si>
  <si>
    <t>5794356-7</t>
  </si>
  <si>
    <t>VOLMIR LUIS DE SOUZA BECKER</t>
  </si>
  <si>
    <t>3705369-8</t>
  </si>
  <si>
    <t>BEATRIZ RODRIGUES LOPEZ</t>
  </si>
  <si>
    <t>5112799-7</t>
  </si>
  <si>
    <t>MARCOS FERREIRA DA SILVA</t>
  </si>
  <si>
    <t>7388999-7</t>
  </si>
  <si>
    <t>ERICA FLEITAS</t>
  </si>
  <si>
    <t>REINALDO SANTOS SANTANA</t>
  </si>
  <si>
    <t xml:space="preserve">IVA / IRE </t>
  </si>
  <si>
    <t>ADRIANO SERVIAN ESCOBAR SUAREZ</t>
  </si>
  <si>
    <t>IVA / IRP</t>
  </si>
  <si>
    <t>IVA / IRE</t>
  </si>
  <si>
    <t xml:space="preserve">EDILSON ZIMMERMANN RIVEIRO </t>
  </si>
  <si>
    <t xml:space="preserve">IVA / IRE / IRP </t>
  </si>
  <si>
    <t>ECO CONSTRUCTORA E.A.S</t>
  </si>
  <si>
    <t>80145560-0</t>
  </si>
  <si>
    <t>HEBER AUGUSTO CORONEL RUIZ DIA</t>
  </si>
  <si>
    <t>DIRCE MARIA KUHN DE PICOLOTTO</t>
  </si>
  <si>
    <t>EMILIO RAUL GOMEZ (CHAPISTA)</t>
  </si>
  <si>
    <t>PABLO RAFAEL WEBER SCHERNER</t>
  </si>
  <si>
    <t>3737161-4</t>
  </si>
  <si>
    <t>JEAN CARLOS BARROSO</t>
  </si>
  <si>
    <t>6104142-4</t>
  </si>
  <si>
    <t>JOAO FERREIRA DA SILVA</t>
  </si>
  <si>
    <t>EDUCACION BEBETO S. A.</t>
  </si>
  <si>
    <t>IVA / IRP / IRE</t>
  </si>
  <si>
    <t>FERNANDA REGINATO RODRIGUES</t>
  </si>
  <si>
    <t>SCHOLL ZIMMERMAN HERMANOS SA</t>
  </si>
  <si>
    <t>JUNIOR ORLANDO DURAES BAHLS</t>
  </si>
  <si>
    <t>DOUGLAS MACHADO VIEIRA</t>
  </si>
  <si>
    <t>IVA</t>
  </si>
  <si>
    <t>EULALIO BENITEZ DELGADO</t>
  </si>
  <si>
    <t>MOBILUX SA</t>
  </si>
  <si>
    <t>MAICO J. FERNANDEZ N.</t>
  </si>
  <si>
    <t>BRAULIO FLORENTIN AYALA</t>
  </si>
  <si>
    <t>LEANDRO NICOLA LOPEZ</t>
  </si>
  <si>
    <t>JONATHAN DANIEL CORREIA DIANA</t>
  </si>
  <si>
    <t xml:space="preserve">CLIENTES 32 - RODRIGO Y ARNALDO </t>
  </si>
  <si>
    <t xml:space="preserve"> ASOC DE PRODUCTORES DE PESCADOS APROM</t>
  </si>
  <si>
    <t>COMISION BARRIO DON LEOPOLDO</t>
  </si>
  <si>
    <t>COMISION DE MUJERES VIRGEN DEL CARMEN COLONIA F.R.M</t>
  </si>
  <si>
    <t>COMISION DIRECTIVA DEL CLUB OLIMPIA SAN JOSE</t>
  </si>
  <si>
    <t>COMISION COOPERADORA ESCOLAR ESCUELA BASICA N°1933 SANTA RITA</t>
  </si>
  <si>
    <t>Josinei Bottega</t>
  </si>
  <si>
    <t>IRP RSP</t>
  </si>
  <si>
    <t>Cesar Rodriguez</t>
  </si>
  <si>
    <t>Luiz Cesar John</t>
  </si>
  <si>
    <t>Debora Reichel</t>
  </si>
  <si>
    <t>Osni Da Silva</t>
  </si>
  <si>
    <t>Jose German Rojas</t>
  </si>
  <si>
    <t>Marlice Teresinha Bohnert</t>
  </si>
  <si>
    <t>IRE-IRP</t>
  </si>
  <si>
    <t>Jocimar Franco Ribeiro</t>
  </si>
  <si>
    <t>Evanor Moises flesch</t>
  </si>
  <si>
    <t>Maico Bisolo</t>
  </si>
  <si>
    <t>Alex Junior Flores</t>
  </si>
  <si>
    <t>Francisco Urtado</t>
  </si>
  <si>
    <t>Vilmar Antonio Monteiro</t>
  </si>
  <si>
    <t>IRP RGC</t>
  </si>
  <si>
    <t xml:space="preserve">Santiago de los Santos </t>
  </si>
  <si>
    <t>Kleison Kunkel</t>
  </si>
  <si>
    <t>Gabriel de la Cruz</t>
  </si>
  <si>
    <t>Junior Monteiro</t>
  </si>
  <si>
    <t>IRP- IRE SIMPLE</t>
  </si>
  <si>
    <t>Jheison Alex Johann</t>
  </si>
  <si>
    <t xml:space="preserve">Cesar Torres </t>
  </si>
  <si>
    <t>IRP ANUAL</t>
  </si>
  <si>
    <t>Rodrigo Cañete</t>
  </si>
  <si>
    <t>Pablo Rodrigo Lu</t>
  </si>
  <si>
    <t>IRP-SRP</t>
  </si>
  <si>
    <t>Kelly Daiane Rosa</t>
  </si>
  <si>
    <t>Marcelo Bisolo</t>
  </si>
  <si>
    <t>Alex Diogo Dalazen</t>
  </si>
  <si>
    <t>Aldo Duarte</t>
  </si>
  <si>
    <t xml:space="preserve">Matilde Cristobalina </t>
  </si>
  <si>
    <t>IRP-RGC</t>
  </si>
  <si>
    <t>Rolando Jose Rojas Jordan</t>
  </si>
  <si>
    <t>Carlos Maciel</t>
  </si>
  <si>
    <t>Jonatan Augusto Johann</t>
  </si>
  <si>
    <t>Arnaldo Gomez</t>
  </si>
  <si>
    <t>Alcione Da Silva</t>
  </si>
  <si>
    <t>IRP-RSP</t>
  </si>
  <si>
    <t>Milton Johann</t>
  </si>
  <si>
    <t>IRP-RSP-RGC</t>
  </si>
  <si>
    <t>Cristino Raul Britos</t>
  </si>
  <si>
    <t>Osmar Da Silva</t>
  </si>
  <si>
    <t>Fabiano Immig Roque</t>
  </si>
  <si>
    <t>Edson Da Silva Stuepp</t>
  </si>
  <si>
    <t>Aline Andreia Hendges</t>
  </si>
  <si>
    <t>Flora Lombardo</t>
  </si>
  <si>
    <t>Eleandro Ellonai Kelm</t>
  </si>
  <si>
    <t>Thiago Goncalves</t>
  </si>
  <si>
    <t>Nelson Marlow</t>
  </si>
  <si>
    <t>Juan Bautista Arana</t>
  </si>
  <si>
    <t>Yhenifer Johann</t>
  </si>
  <si>
    <t>RG90 mensual</t>
  </si>
  <si>
    <t>IRP-IRE SIMPLE</t>
  </si>
  <si>
    <t>Marcos Alex Bisolo</t>
  </si>
  <si>
    <t>Laercio Scholl Bialeski</t>
  </si>
  <si>
    <t>Fernando Roque Immig</t>
  </si>
  <si>
    <t>Leongino Gamarra Aranda</t>
  </si>
  <si>
    <t>Luis Hugo Velazquez Benitez</t>
  </si>
  <si>
    <t>Emerson Coelho</t>
  </si>
  <si>
    <t>Jucimara Duraes De Souza</t>
  </si>
  <si>
    <t>IRP IRE</t>
  </si>
  <si>
    <t xml:space="preserve">Jose Fernando Pardo </t>
  </si>
  <si>
    <t>Myrian Graciela Paredes</t>
  </si>
  <si>
    <t>Rosa Elena Almada</t>
  </si>
  <si>
    <t>Diego Matias Morel</t>
  </si>
  <si>
    <t xml:space="preserve">IVA </t>
  </si>
  <si>
    <t>IVA/ IRE G</t>
  </si>
  <si>
    <t>IVA/ IRE S</t>
  </si>
  <si>
    <t>MILTON SEIBEL</t>
  </si>
  <si>
    <t>IRE RESIMPLE</t>
  </si>
  <si>
    <t>MARCIA BAMPI</t>
  </si>
  <si>
    <t>LUCAS DINIZ CORDEIRO</t>
  </si>
  <si>
    <t>EDERSON VANIN SCHNEIDER</t>
  </si>
  <si>
    <t>CARLOS EPIFANIO DUARTE</t>
  </si>
  <si>
    <t>IVA/ IRP-RSP</t>
  </si>
  <si>
    <t>SAULO DORIVAL HAHN</t>
  </si>
  <si>
    <t>STEPHANIE HOFFMANN</t>
  </si>
  <si>
    <t>IVA-IRP-RSP</t>
  </si>
  <si>
    <t>SUSANA HAHN DE DUTRA</t>
  </si>
  <si>
    <t>CRISTIAN ESPINOLA</t>
  </si>
  <si>
    <t>IVA/IRE S</t>
  </si>
  <si>
    <t>EMERSON LUIS JUNIOR PILGER</t>
  </si>
  <si>
    <t>IVA /IRP-RSP</t>
  </si>
  <si>
    <t>MESSIAS HENTIQUE DUTRA</t>
  </si>
  <si>
    <t>JOSE HUPPES</t>
  </si>
  <si>
    <t xml:space="preserve">DANIELA ZANINI PECHER </t>
  </si>
  <si>
    <t xml:space="preserve">IVA /IRP </t>
  </si>
  <si>
    <t xml:space="preserve">ANTONIO MARCOS DE SA </t>
  </si>
  <si>
    <t>IVA /IRP</t>
  </si>
  <si>
    <t>ELUANA . KUNKEL RIEGER</t>
  </si>
  <si>
    <t xml:space="preserve">IVA/IRP </t>
  </si>
  <si>
    <t>ZACARIAS RUI DIAZ ACOSTA</t>
  </si>
  <si>
    <t xml:space="preserve">GISELLE GATTI </t>
  </si>
  <si>
    <t>S</t>
  </si>
  <si>
    <t xml:space="preserve">LUIS FERNANDO MONTEIRO DA ROSA </t>
  </si>
  <si>
    <t xml:space="preserve">SANTIAGO SANABRIA RIVAROLA </t>
  </si>
  <si>
    <t xml:space="preserve">PERLA CAROLINA CAÑETE </t>
  </si>
  <si>
    <t>MARCELA EGEVARTH</t>
  </si>
  <si>
    <t xml:space="preserve">NELSON DE MELO PENNA </t>
  </si>
  <si>
    <t>MARCELO ANTONI ALIRADINI</t>
  </si>
  <si>
    <t xml:space="preserve">JONATAN CHAVEZ DA SILVA </t>
  </si>
  <si>
    <t xml:space="preserve">DAISE ROSANA VASATA </t>
  </si>
  <si>
    <t>YOVERSON ANTUNEZ DARROSA</t>
  </si>
  <si>
    <t xml:space="preserve">ANESIO EMERSON DE OLIVEIRA </t>
  </si>
  <si>
    <t>JORGE DANIEL SANABRIA RIVAROLA</t>
  </si>
  <si>
    <t xml:space="preserve">KARINA FELKIKER </t>
  </si>
  <si>
    <t xml:space="preserve">CAETANO FARINA BASTOS </t>
  </si>
  <si>
    <t>LAURA CAROLINA FERNANDEZ</t>
  </si>
  <si>
    <t xml:space="preserve">ANA PAULA LOTTERMANN </t>
  </si>
  <si>
    <t xml:space="preserve">PERFER SA </t>
  </si>
  <si>
    <t xml:space="preserve">G4 CAL SA </t>
  </si>
  <si>
    <t xml:space="preserve">UNDP </t>
  </si>
  <si>
    <t xml:space="preserve">semestral </t>
  </si>
  <si>
    <t>IRRIGAR SA</t>
  </si>
  <si>
    <t>IRE GENERAL</t>
  </si>
  <si>
    <t xml:space="preserve">JEFFESRON BASTOS </t>
  </si>
  <si>
    <t xml:space="preserve">JUAN JOSE ACOSTA RAMON </t>
  </si>
  <si>
    <t xml:space="preserve">JULSIMAR SEGALIN </t>
  </si>
  <si>
    <t xml:space="preserve">LOIVA SIMONE TEWES </t>
  </si>
  <si>
    <t>LUCIANE FELICITA LANFERDINI</t>
  </si>
  <si>
    <t>MAICON BEHNER</t>
  </si>
  <si>
    <t xml:space="preserve">OXIGENA INTERMED </t>
  </si>
  <si>
    <t xml:space="preserve">ROSEMI BARREA ALVEZ </t>
  </si>
  <si>
    <t xml:space="preserve">TORO RENDA SRL </t>
  </si>
  <si>
    <t xml:space="preserve">VANDERSON ROBERTO NEUNBERGUER </t>
  </si>
  <si>
    <t xml:space="preserve">VOLMIR LUIS DE SOUZA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</si>
</sst>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Times New Roman"/>
      <family val="1"/>
    </font>
    <font>
      <sz val="15"/>
      <color theme="1"/>
      <name val="Calibri"/>
      <family val="2"/>
      <scheme val="minor"/>
    </font>
    <font>
      <sz val="10"/>
      <name val="Arial"/>
      <family val="2"/>
    </font>
    <font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5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5" fillId="0" borderId="0"/>
    <xf numFmtId="0" fontId="1" fillId="0" borderId="0"/>
  </cellStyleXfs>
  <cellXfs count="97">
    <xf numFmtId="0" fontId="0" fillId="0" borderId="0" xfId="0"/>
    <xf numFmtId="0" fontId="4" fillId="0" borderId="0" xfId="0" applyFont="1" applyFill="1" applyAlignment="1">
      <alignment wrapText="1"/>
    </xf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0" fillId="0" borderId="0" xfId="0" applyFont="1" applyFill="1"/>
    <xf numFmtId="0" fontId="0" fillId="0" borderId="4" xfId="0" applyFont="1" applyFill="1" applyBorder="1"/>
    <xf numFmtId="0" fontId="10" fillId="0" borderId="4" xfId="2" applyFont="1" applyFill="1" applyBorder="1" applyAlignment="1">
      <alignment horizontal="center"/>
    </xf>
    <xf numFmtId="0" fontId="10" fillId="0" borderId="4" xfId="2" applyFont="1" applyFill="1" applyBorder="1"/>
    <xf numFmtId="0" fontId="10" fillId="0" borderId="4" xfId="2" applyFont="1" applyFill="1" applyBorder="1" applyAlignment="1">
      <alignment vertical="center"/>
    </xf>
    <xf numFmtId="0" fontId="10" fillId="0" borderId="4" xfId="2" applyFont="1" applyFill="1" applyBorder="1" applyAlignment="1">
      <alignment horizontal="right"/>
    </xf>
    <xf numFmtId="0" fontId="10" fillId="0" borderId="4" xfId="0" applyFont="1" applyFill="1" applyBorder="1"/>
    <xf numFmtId="0" fontId="10" fillId="0" borderId="4" xfId="2" applyFont="1" applyFill="1" applyBorder="1" applyAlignment="1">
      <alignment horizontal="left" vertical="center"/>
    </xf>
    <xf numFmtId="0" fontId="10" fillId="0" borderId="4" xfId="2" applyFont="1" applyFill="1" applyBorder="1" applyAlignment="1">
      <alignment horizontal="right" vertical="center"/>
    </xf>
    <xf numFmtId="0" fontId="12" fillId="0" borderId="4" xfId="0" applyFont="1" applyFill="1" applyBorder="1"/>
    <xf numFmtId="0" fontId="12" fillId="0" borderId="4" xfId="3" applyFont="1" applyFill="1" applyBorder="1"/>
    <xf numFmtId="164" fontId="10" fillId="0" borderId="4" xfId="1" applyNumberFormat="1" applyFont="1" applyFill="1" applyBorder="1"/>
    <xf numFmtId="164" fontId="10" fillId="0" borderId="4" xfId="1" applyNumberFormat="1" applyFont="1" applyFill="1" applyBorder="1" applyAlignment="1">
      <alignment vertical="center"/>
    </xf>
    <xf numFmtId="164" fontId="10" fillId="0" borderId="4" xfId="1" applyNumberFormat="1" applyFont="1" applyFill="1" applyBorder="1" applyAlignment="1">
      <alignment horizontal="right"/>
    </xf>
    <xf numFmtId="164" fontId="10" fillId="0" borderId="4" xfId="1" applyNumberFormat="1" applyFont="1" applyFill="1" applyBorder="1" applyAlignment="1">
      <alignment horizontal="right" vertical="center"/>
    </xf>
    <xf numFmtId="164" fontId="12" fillId="0" borderId="4" xfId="1" applyNumberFormat="1" applyFont="1" applyFill="1" applyBorder="1"/>
    <xf numFmtId="164" fontId="0" fillId="0" borderId="0" xfId="1" applyNumberFormat="1" applyFont="1" applyFill="1"/>
    <xf numFmtId="0" fontId="9" fillId="2" borderId="4" xfId="0" applyFont="1" applyFill="1" applyBorder="1" applyAlignment="1">
      <alignment horizontal="center" wrapText="1"/>
    </xf>
    <xf numFmtId="164" fontId="9" fillId="2" borderId="4" xfId="1" applyNumberFormat="1" applyFont="1" applyFill="1" applyBorder="1" applyAlignment="1">
      <alignment horizontal="center" wrapText="1"/>
    </xf>
    <xf numFmtId="164" fontId="0" fillId="0" borderId="4" xfId="1" applyNumberFormat="1" applyFont="1" applyFill="1" applyBorder="1"/>
    <xf numFmtId="0" fontId="11" fillId="0" borderId="4" xfId="0" applyFont="1" applyFill="1" applyBorder="1" applyAlignment="1">
      <alignment vertical="center"/>
    </xf>
    <xf numFmtId="0" fontId="11" fillId="0" borderId="4" xfId="0" applyFont="1" applyFill="1" applyBorder="1" applyAlignment="1">
      <alignment horizontal="right" vertical="center"/>
    </xf>
    <xf numFmtId="0" fontId="11" fillId="0" borderId="0" xfId="0" applyFont="1"/>
    <xf numFmtId="0" fontId="13" fillId="0" borderId="4" xfId="0" applyFont="1" applyBorder="1"/>
    <xf numFmtId="0" fontId="13" fillId="0" borderId="4" xfId="0" applyFont="1" applyBorder="1" applyAlignment="1">
      <alignment horizontal="left"/>
    </xf>
    <xf numFmtId="0" fontId="12" fillId="0" borderId="0" xfId="0" applyFont="1"/>
    <xf numFmtId="0" fontId="12" fillId="0" borderId="4" xfId="0" applyFont="1" applyFill="1" applyBorder="1" applyAlignment="1">
      <alignment vertical="center"/>
    </xf>
    <xf numFmtId="0" fontId="12" fillId="0" borderId="4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center" wrapText="1"/>
    </xf>
    <xf numFmtId="164" fontId="10" fillId="2" borderId="4" xfId="1" applyNumberFormat="1" applyFont="1" applyFill="1" applyBorder="1" applyAlignment="1">
      <alignment horizontal="center" wrapText="1"/>
    </xf>
    <xf numFmtId="0" fontId="16" fillId="0" borderId="4" xfId="2" applyFont="1" applyFill="1" applyBorder="1" applyAlignment="1">
      <alignment vertical="center"/>
    </xf>
    <xf numFmtId="164" fontId="16" fillId="0" borderId="4" xfId="1" applyNumberFormat="1" applyFont="1" applyFill="1" applyBorder="1" applyAlignment="1">
      <alignment vertical="center"/>
    </xf>
    <xf numFmtId="0" fontId="11" fillId="0" borderId="0" xfId="0" applyFont="1" applyBorder="1"/>
    <xf numFmtId="0" fontId="14" fillId="0" borderId="0" xfId="0" applyFont="1" applyBorder="1"/>
    <xf numFmtId="0" fontId="11" fillId="0" borderId="0" xfId="0" applyFont="1" applyBorder="1" applyAlignment="1">
      <alignment wrapText="1"/>
    </xf>
    <xf numFmtId="0" fontId="15" fillId="0" borderId="0" xfId="0" applyFont="1" applyBorder="1"/>
    <xf numFmtId="41" fontId="9" fillId="2" borderId="4" xfId="1" applyFont="1" applyFill="1" applyBorder="1" applyAlignment="1">
      <alignment horizontal="center" wrapText="1"/>
    </xf>
    <xf numFmtId="41" fontId="10" fillId="0" borderId="4" xfId="1" applyFont="1" applyFill="1" applyBorder="1"/>
    <xf numFmtId="41" fontId="10" fillId="0" borderId="4" xfId="1" applyFont="1" applyFill="1" applyBorder="1" applyAlignment="1">
      <alignment vertical="center"/>
    </xf>
    <xf numFmtId="41" fontId="0" fillId="0" borderId="4" xfId="1" applyFont="1" applyFill="1" applyBorder="1"/>
    <xf numFmtId="41" fontId="10" fillId="0" borderId="4" xfId="1" applyFont="1" applyFill="1" applyBorder="1" applyAlignment="1">
      <alignment horizontal="right"/>
    </xf>
    <xf numFmtId="41" fontId="16" fillId="0" borderId="4" xfId="1" applyFont="1" applyFill="1" applyBorder="1" applyAlignment="1">
      <alignment vertical="center"/>
    </xf>
    <xf numFmtId="41" fontId="10" fillId="0" borderId="4" xfId="1" applyFont="1" applyFill="1" applyBorder="1" applyAlignment="1">
      <alignment horizontal="right" vertical="center"/>
    </xf>
    <xf numFmtId="41" fontId="12" fillId="0" borderId="4" xfId="1" applyFont="1" applyFill="1" applyBorder="1"/>
    <xf numFmtId="0" fontId="10" fillId="0" borderId="7" xfId="0" applyFont="1" applyFill="1" applyBorder="1"/>
    <xf numFmtId="0" fontId="16" fillId="0" borderId="4" xfId="2" applyFont="1" applyFill="1" applyBorder="1" applyAlignment="1">
      <alignment horizontal="left"/>
    </xf>
    <xf numFmtId="0" fontId="16" fillId="0" borderId="4" xfId="2" applyFont="1" applyFill="1" applyBorder="1"/>
    <xf numFmtId="41" fontId="16" fillId="0" borderId="4" xfId="1" applyFont="1" applyFill="1" applyBorder="1"/>
    <xf numFmtId="164" fontId="16" fillId="0" borderId="4" xfId="1" applyNumberFormat="1" applyFont="1" applyFill="1" applyBorder="1"/>
    <xf numFmtId="41" fontId="10" fillId="0" borderId="0" xfId="1" applyFont="1" applyFill="1" applyBorder="1"/>
    <xf numFmtId="164" fontId="10" fillId="0" borderId="0" xfId="1" applyNumberFormat="1" applyFont="1" applyFill="1" applyBorder="1"/>
    <xf numFmtId="41" fontId="11" fillId="0" borderId="4" xfId="1" applyFont="1" applyFill="1" applyBorder="1"/>
    <xf numFmtId="164" fontId="11" fillId="0" borderId="4" xfId="1" applyNumberFormat="1" applyFont="1" applyFill="1" applyBorder="1"/>
    <xf numFmtId="41" fontId="14" fillId="3" borderId="6" xfId="1" applyFont="1" applyFill="1" applyBorder="1"/>
    <xf numFmtId="164" fontId="14" fillId="3" borderId="6" xfId="1" applyNumberFormat="1" applyFont="1" applyFill="1" applyBorder="1"/>
    <xf numFmtId="41" fontId="11" fillId="0" borderId="0" xfId="1" applyFont="1" applyFill="1"/>
    <xf numFmtId="164" fontId="11" fillId="0" borderId="0" xfId="1" applyNumberFormat="1" applyFont="1" applyFill="1"/>
    <xf numFmtId="41" fontId="2" fillId="4" borderId="0" xfId="1" applyFont="1" applyFill="1"/>
    <xf numFmtId="164" fontId="2" fillId="4" borderId="0" xfId="1" applyNumberFormat="1" applyFont="1" applyFill="1"/>
    <xf numFmtId="41" fontId="17" fillId="4" borderId="0" xfId="1" applyFont="1" applyFill="1" applyAlignment="1">
      <alignment wrapText="1"/>
    </xf>
    <xf numFmtId="164" fontId="17" fillId="4" borderId="0" xfId="1" applyNumberFormat="1" applyFont="1" applyFill="1" applyAlignment="1">
      <alignment wrapText="1"/>
    </xf>
    <xf numFmtId="41" fontId="18" fillId="4" borderId="0" xfId="1" applyFont="1" applyFill="1"/>
    <xf numFmtId="164" fontId="18" fillId="4" borderId="0" xfId="1" applyNumberFormat="1" applyFont="1" applyFill="1"/>
    <xf numFmtId="41" fontId="19" fillId="4" borderId="0" xfId="1" applyFont="1" applyFill="1"/>
    <xf numFmtId="164" fontId="19" fillId="4" borderId="0" xfId="1" applyNumberFormat="1" applyFont="1" applyFill="1"/>
    <xf numFmtId="41" fontId="20" fillId="4" borderId="0" xfId="1" applyFont="1" applyFill="1"/>
    <xf numFmtId="164" fontId="20" fillId="4" borderId="0" xfId="1" applyNumberFormat="1" applyFont="1" applyFill="1"/>
    <xf numFmtId="0" fontId="21" fillId="0" borderId="0" xfId="0" applyFont="1" applyFill="1"/>
    <xf numFmtId="41" fontId="21" fillId="0" borderId="0" xfId="1" applyFont="1" applyFill="1"/>
    <xf numFmtId="41" fontId="12" fillId="0" borderId="0" xfId="1" applyFont="1"/>
    <xf numFmtId="41" fontId="3" fillId="2" borderId="4" xfId="1" applyFont="1" applyFill="1" applyBorder="1" applyAlignment="1">
      <alignment horizontal="center" wrapText="1"/>
    </xf>
    <xf numFmtId="41" fontId="13" fillId="0" borderId="4" xfId="1" applyFont="1" applyBorder="1"/>
    <xf numFmtId="41" fontId="11" fillId="0" borderId="0" xfId="1" applyFont="1"/>
    <xf numFmtId="41" fontId="22" fillId="2" borderId="0" xfId="1" applyFont="1" applyFill="1"/>
    <xf numFmtId="41" fontId="14" fillId="2" borderId="0" xfId="1" applyFont="1" applyFill="1"/>
    <xf numFmtId="0" fontId="10" fillId="5" borderId="4" xfId="2" applyFont="1" applyFill="1" applyBorder="1" applyAlignment="1">
      <alignment horizontal="center"/>
    </xf>
    <xf numFmtId="0" fontId="10" fillId="5" borderId="4" xfId="2" applyFont="1" applyFill="1" applyBorder="1" applyAlignment="1">
      <alignment vertical="center"/>
    </xf>
    <xf numFmtId="41" fontId="10" fillId="5" borderId="4" xfId="1" applyFont="1" applyFill="1" applyBorder="1" applyAlignment="1">
      <alignment vertical="center"/>
    </xf>
    <xf numFmtId="164" fontId="10" fillId="5" borderId="4" xfId="1" applyNumberFormat="1" applyFont="1" applyFill="1" applyBorder="1" applyAlignment="1">
      <alignment vertical="center"/>
    </xf>
    <xf numFmtId="0" fontId="16" fillId="0" borderId="4" xfId="2" applyFont="1" applyFill="1" applyBorder="1" applyAlignment="1">
      <alignment horizontal="center"/>
    </xf>
    <xf numFmtId="0" fontId="16" fillId="0" borderId="4" xfId="0" applyFont="1" applyFill="1" applyBorder="1"/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</cellXfs>
  <cellStyles count="4">
    <cellStyle name="Millares [0]" xfId="1" builtinId="6"/>
    <cellStyle name="Normal" xfId="0" builtinId="0"/>
    <cellStyle name="Normal 2" xfId="2" xr:uid="{E96A03D7-131D-4795-A7A3-E9CC5BFB4B94}"/>
    <cellStyle name="Normal 3" xfId="3" xr:uid="{F67C6EB5-43B8-4B67-B1D1-B643ECE235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6FF7-473C-49D7-8B24-B3CE4566E2A4}">
  <dimension ref="A1:J267"/>
  <sheetViews>
    <sheetView tabSelected="1" topLeftCell="A14" zoomScale="98" zoomScaleNormal="98" workbookViewId="0">
      <selection activeCell="E13" sqref="E13"/>
    </sheetView>
  </sheetViews>
  <sheetFormatPr baseColWidth="10" defaultColWidth="11.44140625" defaultRowHeight="14.4" x14ac:dyDescent="0.3"/>
  <cols>
    <col min="1" max="1" width="8.109375" style="5" customWidth="1"/>
    <col min="2" max="2" width="49.44140625" style="5" customWidth="1"/>
    <col min="3" max="3" width="13.5546875" style="5" customWidth="1"/>
    <col min="4" max="4" width="15" style="60" customWidth="1"/>
    <col min="5" max="5" width="18.5546875" style="61" customWidth="1"/>
    <col min="6" max="6" width="36.77734375" style="5" customWidth="1"/>
    <col min="7" max="7" width="11.44140625" style="62"/>
    <col min="8" max="8" width="11.44140625" style="63"/>
    <col min="9" max="250" width="11.44140625" style="5"/>
    <col min="251" max="251" width="8.109375" style="5" customWidth="1"/>
    <col min="252" max="252" width="47" style="5" customWidth="1"/>
    <col min="253" max="253" width="12.44140625" style="5" customWidth="1"/>
    <col min="254" max="254" width="33.6640625" style="5" customWidth="1"/>
    <col min="255" max="255" width="38.88671875" style="5" customWidth="1"/>
    <col min="256" max="256" width="32.33203125" style="5" customWidth="1"/>
    <col min="257" max="257" width="9.44140625" style="5" customWidth="1"/>
    <col min="258" max="258" width="11.88671875" style="5" customWidth="1"/>
    <col min="259" max="259" width="12.6640625" style="5" customWidth="1"/>
    <col min="260" max="260" width="14.77734375" style="5" customWidth="1"/>
    <col min="261" max="261" width="13.5546875" style="5" customWidth="1"/>
    <col min="262" max="506" width="11.44140625" style="5"/>
    <col min="507" max="507" width="8.109375" style="5" customWidth="1"/>
    <col min="508" max="508" width="47" style="5" customWidth="1"/>
    <col min="509" max="509" width="12.44140625" style="5" customWidth="1"/>
    <col min="510" max="510" width="33.6640625" style="5" customWidth="1"/>
    <col min="511" max="511" width="38.88671875" style="5" customWidth="1"/>
    <col min="512" max="512" width="32.33203125" style="5" customWidth="1"/>
    <col min="513" max="513" width="9.44140625" style="5" customWidth="1"/>
    <col min="514" max="514" width="11.88671875" style="5" customWidth="1"/>
    <col min="515" max="515" width="12.6640625" style="5" customWidth="1"/>
    <col min="516" max="516" width="14.77734375" style="5" customWidth="1"/>
    <col min="517" max="517" width="13.5546875" style="5" customWidth="1"/>
    <col min="518" max="762" width="11.44140625" style="5"/>
    <col min="763" max="763" width="8.109375" style="5" customWidth="1"/>
    <col min="764" max="764" width="47" style="5" customWidth="1"/>
    <col min="765" max="765" width="12.44140625" style="5" customWidth="1"/>
    <col min="766" max="766" width="33.6640625" style="5" customWidth="1"/>
    <col min="767" max="767" width="38.88671875" style="5" customWidth="1"/>
    <col min="768" max="768" width="32.33203125" style="5" customWidth="1"/>
    <col min="769" max="769" width="9.44140625" style="5" customWidth="1"/>
    <col min="770" max="770" width="11.88671875" style="5" customWidth="1"/>
    <col min="771" max="771" width="12.6640625" style="5" customWidth="1"/>
    <col min="772" max="772" width="14.77734375" style="5" customWidth="1"/>
    <col min="773" max="773" width="13.5546875" style="5" customWidth="1"/>
    <col min="774" max="1018" width="11.44140625" style="5"/>
    <col min="1019" max="1019" width="8.109375" style="5" customWidth="1"/>
    <col min="1020" max="1020" width="47" style="5" customWidth="1"/>
    <col min="1021" max="1021" width="12.44140625" style="5" customWidth="1"/>
    <col min="1022" max="1022" width="33.6640625" style="5" customWidth="1"/>
    <col min="1023" max="1023" width="38.88671875" style="5" customWidth="1"/>
    <col min="1024" max="1024" width="32.33203125" style="5" customWidth="1"/>
    <col min="1025" max="1025" width="9.44140625" style="5" customWidth="1"/>
    <col min="1026" max="1026" width="11.88671875" style="5" customWidth="1"/>
    <col min="1027" max="1027" width="12.6640625" style="5" customWidth="1"/>
    <col min="1028" max="1028" width="14.77734375" style="5" customWidth="1"/>
    <col min="1029" max="1029" width="13.5546875" style="5" customWidth="1"/>
    <col min="1030" max="1274" width="11.44140625" style="5"/>
    <col min="1275" max="1275" width="8.109375" style="5" customWidth="1"/>
    <col min="1276" max="1276" width="47" style="5" customWidth="1"/>
    <col min="1277" max="1277" width="12.44140625" style="5" customWidth="1"/>
    <col min="1278" max="1278" width="33.6640625" style="5" customWidth="1"/>
    <col min="1279" max="1279" width="38.88671875" style="5" customWidth="1"/>
    <col min="1280" max="1280" width="32.33203125" style="5" customWidth="1"/>
    <col min="1281" max="1281" width="9.44140625" style="5" customWidth="1"/>
    <col min="1282" max="1282" width="11.88671875" style="5" customWidth="1"/>
    <col min="1283" max="1283" width="12.6640625" style="5" customWidth="1"/>
    <col min="1284" max="1284" width="14.77734375" style="5" customWidth="1"/>
    <col min="1285" max="1285" width="13.5546875" style="5" customWidth="1"/>
    <col min="1286" max="1530" width="11.44140625" style="5"/>
    <col min="1531" max="1531" width="8.109375" style="5" customWidth="1"/>
    <col min="1532" max="1532" width="47" style="5" customWidth="1"/>
    <col min="1533" max="1533" width="12.44140625" style="5" customWidth="1"/>
    <col min="1534" max="1534" width="33.6640625" style="5" customWidth="1"/>
    <col min="1535" max="1535" width="38.88671875" style="5" customWidth="1"/>
    <col min="1536" max="1536" width="32.33203125" style="5" customWidth="1"/>
    <col min="1537" max="1537" width="9.44140625" style="5" customWidth="1"/>
    <col min="1538" max="1538" width="11.88671875" style="5" customWidth="1"/>
    <col min="1539" max="1539" width="12.6640625" style="5" customWidth="1"/>
    <col min="1540" max="1540" width="14.77734375" style="5" customWidth="1"/>
    <col min="1541" max="1541" width="13.5546875" style="5" customWidth="1"/>
    <col min="1542" max="1786" width="11.44140625" style="5"/>
    <col min="1787" max="1787" width="8.109375" style="5" customWidth="1"/>
    <col min="1788" max="1788" width="47" style="5" customWidth="1"/>
    <col min="1789" max="1789" width="12.44140625" style="5" customWidth="1"/>
    <col min="1790" max="1790" width="33.6640625" style="5" customWidth="1"/>
    <col min="1791" max="1791" width="38.88671875" style="5" customWidth="1"/>
    <col min="1792" max="1792" width="32.33203125" style="5" customWidth="1"/>
    <col min="1793" max="1793" width="9.44140625" style="5" customWidth="1"/>
    <col min="1794" max="1794" width="11.88671875" style="5" customWidth="1"/>
    <col min="1795" max="1795" width="12.6640625" style="5" customWidth="1"/>
    <col min="1796" max="1796" width="14.77734375" style="5" customWidth="1"/>
    <col min="1797" max="1797" width="13.5546875" style="5" customWidth="1"/>
    <col min="1798" max="2042" width="11.44140625" style="5"/>
    <col min="2043" max="2043" width="8.109375" style="5" customWidth="1"/>
    <col min="2044" max="2044" width="47" style="5" customWidth="1"/>
    <col min="2045" max="2045" width="12.44140625" style="5" customWidth="1"/>
    <col min="2046" max="2046" width="33.6640625" style="5" customWidth="1"/>
    <col min="2047" max="2047" width="38.88671875" style="5" customWidth="1"/>
    <col min="2048" max="2048" width="32.33203125" style="5" customWidth="1"/>
    <col min="2049" max="2049" width="9.44140625" style="5" customWidth="1"/>
    <col min="2050" max="2050" width="11.88671875" style="5" customWidth="1"/>
    <col min="2051" max="2051" width="12.6640625" style="5" customWidth="1"/>
    <col min="2052" max="2052" width="14.77734375" style="5" customWidth="1"/>
    <col min="2053" max="2053" width="13.5546875" style="5" customWidth="1"/>
    <col min="2054" max="2298" width="11.44140625" style="5"/>
    <col min="2299" max="2299" width="8.109375" style="5" customWidth="1"/>
    <col min="2300" max="2300" width="47" style="5" customWidth="1"/>
    <col min="2301" max="2301" width="12.44140625" style="5" customWidth="1"/>
    <col min="2302" max="2302" width="33.6640625" style="5" customWidth="1"/>
    <col min="2303" max="2303" width="38.88671875" style="5" customWidth="1"/>
    <col min="2304" max="2304" width="32.33203125" style="5" customWidth="1"/>
    <col min="2305" max="2305" width="9.44140625" style="5" customWidth="1"/>
    <col min="2306" max="2306" width="11.88671875" style="5" customWidth="1"/>
    <col min="2307" max="2307" width="12.6640625" style="5" customWidth="1"/>
    <col min="2308" max="2308" width="14.77734375" style="5" customWidth="1"/>
    <col min="2309" max="2309" width="13.5546875" style="5" customWidth="1"/>
    <col min="2310" max="2554" width="11.44140625" style="5"/>
    <col min="2555" max="2555" width="8.109375" style="5" customWidth="1"/>
    <col min="2556" max="2556" width="47" style="5" customWidth="1"/>
    <col min="2557" max="2557" width="12.44140625" style="5" customWidth="1"/>
    <col min="2558" max="2558" width="33.6640625" style="5" customWidth="1"/>
    <col min="2559" max="2559" width="38.88671875" style="5" customWidth="1"/>
    <col min="2560" max="2560" width="32.33203125" style="5" customWidth="1"/>
    <col min="2561" max="2561" width="9.44140625" style="5" customWidth="1"/>
    <col min="2562" max="2562" width="11.88671875" style="5" customWidth="1"/>
    <col min="2563" max="2563" width="12.6640625" style="5" customWidth="1"/>
    <col min="2564" max="2564" width="14.77734375" style="5" customWidth="1"/>
    <col min="2565" max="2565" width="13.5546875" style="5" customWidth="1"/>
    <col min="2566" max="2810" width="11.44140625" style="5"/>
    <col min="2811" max="2811" width="8.109375" style="5" customWidth="1"/>
    <col min="2812" max="2812" width="47" style="5" customWidth="1"/>
    <col min="2813" max="2813" width="12.44140625" style="5" customWidth="1"/>
    <col min="2814" max="2814" width="33.6640625" style="5" customWidth="1"/>
    <col min="2815" max="2815" width="38.88671875" style="5" customWidth="1"/>
    <col min="2816" max="2816" width="32.33203125" style="5" customWidth="1"/>
    <col min="2817" max="2817" width="9.44140625" style="5" customWidth="1"/>
    <col min="2818" max="2818" width="11.88671875" style="5" customWidth="1"/>
    <col min="2819" max="2819" width="12.6640625" style="5" customWidth="1"/>
    <col min="2820" max="2820" width="14.77734375" style="5" customWidth="1"/>
    <col min="2821" max="2821" width="13.5546875" style="5" customWidth="1"/>
    <col min="2822" max="3066" width="11.44140625" style="5"/>
    <col min="3067" max="3067" width="8.109375" style="5" customWidth="1"/>
    <col min="3068" max="3068" width="47" style="5" customWidth="1"/>
    <col min="3069" max="3069" width="12.44140625" style="5" customWidth="1"/>
    <col min="3070" max="3070" width="33.6640625" style="5" customWidth="1"/>
    <col min="3071" max="3071" width="38.88671875" style="5" customWidth="1"/>
    <col min="3072" max="3072" width="32.33203125" style="5" customWidth="1"/>
    <col min="3073" max="3073" width="9.44140625" style="5" customWidth="1"/>
    <col min="3074" max="3074" width="11.88671875" style="5" customWidth="1"/>
    <col min="3075" max="3075" width="12.6640625" style="5" customWidth="1"/>
    <col min="3076" max="3076" width="14.77734375" style="5" customWidth="1"/>
    <col min="3077" max="3077" width="13.5546875" style="5" customWidth="1"/>
    <col min="3078" max="3322" width="11.44140625" style="5"/>
    <col min="3323" max="3323" width="8.109375" style="5" customWidth="1"/>
    <col min="3324" max="3324" width="47" style="5" customWidth="1"/>
    <col min="3325" max="3325" width="12.44140625" style="5" customWidth="1"/>
    <col min="3326" max="3326" width="33.6640625" style="5" customWidth="1"/>
    <col min="3327" max="3327" width="38.88671875" style="5" customWidth="1"/>
    <col min="3328" max="3328" width="32.33203125" style="5" customWidth="1"/>
    <col min="3329" max="3329" width="9.44140625" style="5" customWidth="1"/>
    <col min="3330" max="3330" width="11.88671875" style="5" customWidth="1"/>
    <col min="3331" max="3331" width="12.6640625" style="5" customWidth="1"/>
    <col min="3332" max="3332" width="14.77734375" style="5" customWidth="1"/>
    <col min="3333" max="3333" width="13.5546875" style="5" customWidth="1"/>
    <col min="3334" max="3578" width="11.44140625" style="5"/>
    <col min="3579" max="3579" width="8.109375" style="5" customWidth="1"/>
    <col min="3580" max="3580" width="47" style="5" customWidth="1"/>
    <col min="3581" max="3581" width="12.44140625" style="5" customWidth="1"/>
    <col min="3582" max="3582" width="33.6640625" style="5" customWidth="1"/>
    <col min="3583" max="3583" width="38.88671875" style="5" customWidth="1"/>
    <col min="3584" max="3584" width="32.33203125" style="5" customWidth="1"/>
    <col min="3585" max="3585" width="9.44140625" style="5" customWidth="1"/>
    <col min="3586" max="3586" width="11.88671875" style="5" customWidth="1"/>
    <col min="3587" max="3587" width="12.6640625" style="5" customWidth="1"/>
    <col min="3588" max="3588" width="14.77734375" style="5" customWidth="1"/>
    <col min="3589" max="3589" width="13.5546875" style="5" customWidth="1"/>
    <col min="3590" max="3834" width="11.44140625" style="5"/>
    <col min="3835" max="3835" width="8.109375" style="5" customWidth="1"/>
    <col min="3836" max="3836" width="47" style="5" customWidth="1"/>
    <col min="3837" max="3837" width="12.44140625" style="5" customWidth="1"/>
    <col min="3838" max="3838" width="33.6640625" style="5" customWidth="1"/>
    <col min="3839" max="3839" width="38.88671875" style="5" customWidth="1"/>
    <col min="3840" max="3840" width="32.33203125" style="5" customWidth="1"/>
    <col min="3841" max="3841" width="9.44140625" style="5" customWidth="1"/>
    <col min="3842" max="3842" width="11.88671875" style="5" customWidth="1"/>
    <col min="3843" max="3843" width="12.6640625" style="5" customWidth="1"/>
    <col min="3844" max="3844" width="14.77734375" style="5" customWidth="1"/>
    <col min="3845" max="3845" width="13.5546875" style="5" customWidth="1"/>
    <col min="3846" max="4090" width="11.44140625" style="5"/>
    <col min="4091" max="4091" width="8.109375" style="5" customWidth="1"/>
    <col min="4092" max="4092" width="47" style="5" customWidth="1"/>
    <col min="4093" max="4093" width="12.44140625" style="5" customWidth="1"/>
    <col min="4094" max="4094" width="33.6640625" style="5" customWidth="1"/>
    <col min="4095" max="4095" width="38.88671875" style="5" customWidth="1"/>
    <col min="4096" max="4096" width="32.33203125" style="5" customWidth="1"/>
    <col min="4097" max="4097" width="9.44140625" style="5" customWidth="1"/>
    <col min="4098" max="4098" width="11.88671875" style="5" customWidth="1"/>
    <col min="4099" max="4099" width="12.6640625" style="5" customWidth="1"/>
    <col min="4100" max="4100" width="14.77734375" style="5" customWidth="1"/>
    <col min="4101" max="4101" width="13.5546875" style="5" customWidth="1"/>
    <col min="4102" max="4346" width="11.44140625" style="5"/>
    <col min="4347" max="4347" width="8.109375" style="5" customWidth="1"/>
    <col min="4348" max="4348" width="47" style="5" customWidth="1"/>
    <col min="4349" max="4349" width="12.44140625" style="5" customWidth="1"/>
    <col min="4350" max="4350" width="33.6640625" style="5" customWidth="1"/>
    <col min="4351" max="4351" width="38.88671875" style="5" customWidth="1"/>
    <col min="4352" max="4352" width="32.33203125" style="5" customWidth="1"/>
    <col min="4353" max="4353" width="9.44140625" style="5" customWidth="1"/>
    <col min="4354" max="4354" width="11.88671875" style="5" customWidth="1"/>
    <col min="4355" max="4355" width="12.6640625" style="5" customWidth="1"/>
    <col min="4356" max="4356" width="14.77734375" style="5" customWidth="1"/>
    <col min="4357" max="4357" width="13.5546875" style="5" customWidth="1"/>
    <col min="4358" max="4602" width="11.44140625" style="5"/>
    <col min="4603" max="4603" width="8.109375" style="5" customWidth="1"/>
    <col min="4604" max="4604" width="47" style="5" customWidth="1"/>
    <col min="4605" max="4605" width="12.44140625" style="5" customWidth="1"/>
    <col min="4606" max="4606" width="33.6640625" style="5" customWidth="1"/>
    <col min="4607" max="4607" width="38.88671875" style="5" customWidth="1"/>
    <col min="4608" max="4608" width="32.33203125" style="5" customWidth="1"/>
    <col min="4609" max="4609" width="9.44140625" style="5" customWidth="1"/>
    <col min="4610" max="4610" width="11.88671875" style="5" customWidth="1"/>
    <col min="4611" max="4611" width="12.6640625" style="5" customWidth="1"/>
    <col min="4612" max="4612" width="14.77734375" style="5" customWidth="1"/>
    <col min="4613" max="4613" width="13.5546875" style="5" customWidth="1"/>
    <col min="4614" max="4858" width="11.44140625" style="5"/>
    <col min="4859" max="4859" width="8.109375" style="5" customWidth="1"/>
    <col min="4860" max="4860" width="47" style="5" customWidth="1"/>
    <col min="4861" max="4861" width="12.44140625" style="5" customWidth="1"/>
    <col min="4862" max="4862" width="33.6640625" style="5" customWidth="1"/>
    <col min="4863" max="4863" width="38.88671875" style="5" customWidth="1"/>
    <col min="4864" max="4864" width="32.33203125" style="5" customWidth="1"/>
    <col min="4865" max="4865" width="9.44140625" style="5" customWidth="1"/>
    <col min="4866" max="4866" width="11.88671875" style="5" customWidth="1"/>
    <col min="4867" max="4867" width="12.6640625" style="5" customWidth="1"/>
    <col min="4868" max="4868" width="14.77734375" style="5" customWidth="1"/>
    <col min="4869" max="4869" width="13.5546875" style="5" customWidth="1"/>
    <col min="4870" max="5114" width="11.44140625" style="5"/>
    <col min="5115" max="5115" width="8.109375" style="5" customWidth="1"/>
    <col min="5116" max="5116" width="47" style="5" customWidth="1"/>
    <col min="5117" max="5117" width="12.44140625" style="5" customWidth="1"/>
    <col min="5118" max="5118" width="33.6640625" style="5" customWidth="1"/>
    <col min="5119" max="5119" width="38.88671875" style="5" customWidth="1"/>
    <col min="5120" max="5120" width="32.33203125" style="5" customWidth="1"/>
    <col min="5121" max="5121" width="9.44140625" style="5" customWidth="1"/>
    <col min="5122" max="5122" width="11.88671875" style="5" customWidth="1"/>
    <col min="5123" max="5123" width="12.6640625" style="5" customWidth="1"/>
    <col min="5124" max="5124" width="14.77734375" style="5" customWidth="1"/>
    <col min="5125" max="5125" width="13.5546875" style="5" customWidth="1"/>
    <col min="5126" max="5370" width="11.44140625" style="5"/>
    <col min="5371" max="5371" width="8.109375" style="5" customWidth="1"/>
    <col min="5372" max="5372" width="47" style="5" customWidth="1"/>
    <col min="5373" max="5373" width="12.44140625" style="5" customWidth="1"/>
    <col min="5374" max="5374" width="33.6640625" style="5" customWidth="1"/>
    <col min="5375" max="5375" width="38.88671875" style="5" customWidth="1"/>
    <col min="5376" max="5376" width="32.33203125" style="5" customWidth="1"/>
    <col min="5377" max="5377" width="9.44140625" style="5" customWidth="1"/>
    <col min="5378" max="5378" width="11.88671875" style="5" customWidth="1"/>
    <col min="5379" max="5379" width="12.6640625" style="5" customWidth="1"/>
    <col min="5380" max="5380" width="14.77734375" style="5" customWidth="1"/>
    <col min="5381" max="5381" width="13.5546875" style="5" customWidth="1"/>
    <col min="5382" max="5626" width="11.44140625" style="5"/>
    <col min="5627" max="5627" width="8.109375" style="5" customWidth="1"/>
    <col min="5628" max="5628" width="47" style="5" customWidth="1"/>
    <col min="5629" max="5629" width="12.44140625" style="5" customWidth="1"/>
    <col min="5630" max="5630" width="33.6640625" style="5" customWidth="1"/>
    <col min="5631" max="5631" width="38.88671875" style="5" customWidth="1"/>
    <col min="5632" max="5632" width="32.33203125" style="5" customWidth="1"/>
    <col min="5633" max="5633" width="9.44140625" style="5" customWidth="1"/>
    <col min="5634" max="5634" width="11.88671875" style="5" customWidth="1"/>
    <col min="5635" max="5635" width="12.6640625" style="5" customWidth="1"/>
    <col min="5636" max="5636" width="14.77734375" style="5" customWidth="1"/>
    <col min="5637" max="5637" width="13.5546875" style="5" customWidth="1"/>
    <col min="5638" max="5882" width="11.44140625" style="5"/>
    <col min="5883" max="5883" width="8.109375" style="5" customWidth="1"/>
    <col min="5884" max="5884" width="47" style="5" customWidth="1"/>
    <col min="5885" max="5885" width="12.44140625" style="5" customWidth="1"/>
    <col min="5886" max="5886" width="33.6640625" style="5" customWidth="1"/>
    <col min="5887" max="5887" width="38.88671875" style="5" customWidth="1"/>
    <col min="5888" max="5888" width="32.33203125" style="5" customWidth="1"/>
    <col min="5889" max="5889" width="9.44140625" style="5" customWidth="1"/>
    <col min="5890" max="5890" width="11.88671875" style="5" customWidth="1"/>
    <col min="5891" max="5891" width="12.6640625" style="5" customWidth="1"/>
    <col min="5892" max="5892" width="14.77734375" style="5" customWidth="1"/>
    <col min="5893" max="5893" width="13.5546875" style="5" customWidth="1"/>
    <col min="5894" max="6138" width="11.44140625" style="5"/>
    <col min="6139" max="6139" width="8.109375" style="5" customWidth="1"/>
    <col min="6140" max="6140" width="47" style="5" customWidth="1"/>
    <col min="6141" max="6141" width="12.44140625" style="5" customWidth="1"/>
    <col min="6142" max="6142" width="33.6640625" style="5" customWidth="1"/>
    <col min="6143" max="6143" width="38.88671875" style="5" customWidth="1"/>
    <col min="6144" max="6144" width="32.33203125" style="5" customWidth="1"/>
    <col min="6145" max="6145" width="9.44140625" style="5" customWidth="1"/>
    <col min="6146" max="6146" width="11.88671875" style="5" customWidth="1"/>
    <col min="6147" max="6147" width="12.6640625" style="5" customWidth="1"/>
    <col min="6148" max="6148" width="14.77734375" style="5" customWidth="1"/>
    <col min="6149" max="6149" width="13.5546875" style="5" customWidth="1"/>
    <col min="6150" max="6394" width="11.44140625" style="5"/>
    <col min="6395" max="6395" width="8.109375" style="5" customWidth="1"/>
    <col min="6396" max="6396" width="47" style="5" customWidth="1"/>
    <col min="6397" max="6397" width="12.44140625" style="5" customWidth="1"/>
    <col min="6398" max="6398" width="33.6640625" style="5" customWidth="1"/>
    <col min="6399" max="6399" width="38.88671875" style="5" customWidth="1"/>
    <col min="6400" max="6400" width="32.33203125" style="5" customWidth="1"/>
    <col min="6401" max="6401" width="9.44140625" style="5" customWidth="1"/>
    <col min="6402" max="6402" width="11.88671875" style="5" customWidth="1"/>
    <col min="6403" max="6403" width="12.6640625" style="5" customWidth="1"/>
    <col min="6404" max="6404" width="14.77734375" style="5" customWidth="1"/>
    <col min="6405" max="6405" width="13.5546875" style="5" customWidth="1"/>
    <col min="6406" max="6650" width="11.44140625" style="5"/>
    <col min="6651" max="6651" width="8.109375" style="5" customWidth="1"/>
    <col min="6652" max="6652" width="47" style="5" customWidth="1"/>
    <col min="6653" max="6653" width="12.44140625" style="5" customWidth="1"/>
    <col min="6654" max="6654" width="33.6640625" style="5" customWidth="1"/>
    <col min="6655" max="6655" width="38.88671875" style="5" customWidth="1"/>
    <col min="6656" max="6656" width="32.33203125" style="5" customWidth="1"/>
    <col min="6657" max="6657" width="9.44140625" style="5" customWidth="1"/>
    <col min="6658" max="6658" width="11.88671875" style="5" customWidth="1"/>
    <col min="6659" max="6659" width="12.6640625" style="5" customWidth="1"/>
    <col min="6660" max="6660" width="14.77734375" style="5" customWidth="1"/>
    <col min="6661" max="6661" width="13.5546875" style="5" customWidth="1"/>
    <col min="6662" max="6906" width="11.44140625" style="5"/>
    <col min="6907" max="6907" width="8.109375" style="5" customWidth="1"/>
    <col min="6908" max="6908" width="47" style="5" customWidth="1"/>
    <col min="6909" max="6909" width="12.44140625" style="5" customWidth="1"/>
    <col min="6910" max="6910" width="33.6640625" style="5" customWidth="1"/>
    <col min="6911" max="6911" width="38.88671875" style="5" customWidth="1"/>
    <col min="6912" max="6912" width="32.33203125" style="5" customWidth="1"/>
    <col min="6913" max="6913" width="9.44140625" style="5" customWidth="1"/>
    <col min="6914" max="6914" width="11.88671875" style="5" customWidth="1"/>
    <col min="6915" max="6915" width="12.6640625" style="5" customWidth="1"/>
    <col min="6916" max="6916" width="14.77734375" style="5" customWidth="1"/>
    <col min="6917" max="6917" width="13.5546875" style="5" customWidth="1"/>
    <col min="6918" max="7162" width="11.44140625" style="5"/>
    <col min="7163" max="7163" width="8.109375" style="5" customWidth="1"/>
    <col min="7164" max="7164" width="47" style="5" customWidth="1"/>
    <col min="7165" max="7165" width="12.44140625" style="5" customWidth="1"/>
    <col min="7166" max="7166" width="33.6640625" style="5" customWidth="1"/>
    <col min="7167" max="7167" width="38.88671875" style="5" customWidth="1"/>
    <col min="7168" max="7168" width="32.33203125" style="5" customWidth="1"/>
    <col min="7169" max="7169" width="9.44140625" style="5" customWidth="1"/>
    <col min="7170" max="7170" width="11.88671875" style="5" customWidth="1"/>
    <col min="7171" max="7171" width="12.6640625" style="5" customWidth="1"/>
    <col min="7172" max="7172" width="14.77734375" style="5" customWidth="1"/>
    <col min="7173" max="7173" width="13.5546875" style="5" customWidth="1"/>
    <col min="7174" max="7418" width="11.44140625" style="5"/>
    <col min="7419" max="7419" width="8.109375" style="5" customWidth="1"/>
    <col min="7420" max="7420" width="47" style="5" customWidth="1"/>
    <col min="7421" max="7421" width="12.44140625" style="5" customWidth="1"/>
    <col min="7422" max="7422" width="33.6640625" style="5" customWidth="1"/>
    <col min="7423" max="7423" width="38.88671875" style="5" customWidth="1"/>
    <col min="7424" max="7424" width="32.33203125" style="5" customWidth="1"/>
    <col min="7425" max="7425" width="9.44140625" style="5" customWidth="1"/>
    <col min="7426" max="7426" width="11.88671875" style="5" customWidth="1"/>
    <col min="7427" max="7427" width="12.6640625" style="5" customWidth="1"/>
    <col min="7428" max="7428" width="14.77734375" style="5" customWidth="1"/>
    <col min="7429" max="7429" width="13.5546875" style="5" customWidth="1"/>
    <col min="7430" max="7674" width="11.44140625" style="5"/>
    <col min="7675" max="7675" width="8.109375" style="5" customWidth="1"/>
    <col min="7676" max="7676" width="47" style="5" customWidth="1"/>
    <col min="7677" max="7677" width="12.44140625" style="5" customWidth="1"/>
    <col min="7678" max="7678" width="33.6640625" style="5" customWidth="1"/>
    <col min="7679" max="7679" width="38.88671875" style="5" customWidth="1"/>
    <col min="7680" max="7680" width="32.33203125" style="5" customWidth="1"/>
    <col min="7681" max="7681" width="9.44140625" style="5" customWidth="1"/>
    <col min="7682" max="7682" width="11.88671875" style="5" customWidth="1"/>
    <col min="7683" max="7683" width="12.6640625" style="5" customWidth="1"/>
    <col min="7684" max="7684" width="14.77734375" style="5" customWidth="1"/>
    <col min="7685" max="7685" width="13.5546875" style="5" customWidth="1"/>
    <col min="7686" max="7930" width="11.44140625" style="5"/>
    <col min="7931" max="7931" width="8.109375" style="5" customWidth="1"/>
    <col min="7932" max="7932" width="47" style="5" customWidth="1"/>
    <col min="7933" max="7933" width="12.44140625" style="5" customWidth="1"/>
    <col min="7934" max="7934" width="33.6640625" style="5" customWidth="1"/>
    <col min="7935" max="7935" width="38.88671875" style="5" customWidth="1"/>
    <col min="7936" max="7936" width="32.33203125" style="5" customWidth="1"/>
    <col min="7937" max="7937" width="9.44140625" style="5" customWidth="1"/>
    <col min="7938" max="7938" width="11.88671875" style="5" customWidth="1"/>
    <col min="7939" max="7939" width="12.6640625" style="5" customWidth="1"/>
    <col min="7940" max="7940" width="14.77734375" style="5" customWidth="1"/>
    <col min="7941" max="7941" width="13.5546875" style="5" customWidth="1"/>
    <col min="7942" max="8186" width="11.44140625" style="5"/>
    <col min="8187" max="8187" width="8.109375" style="5" customWidth="1"/>
    <col min="8188" max="8188" width="47" style="5" customWidth="1"/>
    <col min="8189" max="8189" width="12.44140625" style="5" customWidth="1"/>
    <col min="8190" max="8190" width="33.6640625" style="5" customWidth="1"/>
    <col min="8191" max="8191" width="38.88671875" style="5" customWidth="1"/>
    <col min="8192" max="8192" width="32.33203125" style="5" customWidth="1"/>
    <col min="8193" max="8193" width="9.44140625" style="5" customWidth="1"/>
    <col min="8194" max="8194" width="11.88671875" style="5" customWidth="1"/>
    <col min="8195" max="8195" width="12.6640625" style="5" customWidth="1"/>
    <col min="8196" max="8196" width="14.77734375" style="5" customWidth="1"/>
    <col min="8197" max="8197" width="13.5546875" style="5" customWidth="1"/>
    <col min="8198" max="8442" width="11.44140625" style="5"/>
    <col min="8443" max="8443" width="8.109375" style="5" customWidth="1"/>
    <col min="8444" max="8444" width="47" style="5" customWidth="1"/>
    <col min="8445" max="8445" width="12.44140625" style="5" customWidth="1"/>
    <col min="8446" max="8446" width="33.6640625" style="5" customWidth="1"/>
    <col min="8447" max="8447" width="38.88671875" style="5" customWidth="1"/>
    <col min="8448" max="8448" width="32.33203125" style="5" customWidth="1"/>
    <col min="8449" max="8449" width="9.44140625" style="5" customWidth="1"/>
    <col min="8450" max="8450" width="11.88671875" style="5" customWidth="1"/>
    <col min="8451" max="8451" width="12.6640625" style="5" customWidth="1"/>
    <col min="8452" max="8452" width="14.77734375" style="5" customWidth="1"/>
    <col min="8453" max="8453" width="13.5546875" style="5" customWidth="1"/>
    <col min="8454" max="8698" width="11.44140625" style="5"/>
    <col min="8699" max="8699" width="8.109375" style="5" customWidth="1"/>
    <col min="8700" max="8700" width="47" style="5" customWidth="1"/>
    <col min="8701" max="8701" width="12.44140625" style="5" customWidth="1"/>
    <col min="8702" max="8702" width="33.6640625" style="5" customWidth="1"/>
    <col min="8703" max="8703" width="38.88671875" style="5" customWidth="1"/>
    <col min="8704" max="8704" width="32.33203125" style="5" customWidth="1"/>
    <col min="8705" max="8705" width="9.44140625" style="5" customWidth="1"/>
    <col min="8706" max="8706" width="11.88671875" style="5" customWidth="1"/>
    <col min="8707" max="8707" width="12.6640625" style="5" customWidth="1"/>
    <col min="8708" max="8708" width="14.77734375" style="5" customWidth="1"/>
    <col min="8709" max="8709" width="13.5546875" style="5" customWidth="1"/>
    <col min="8710" max="8954" width="11.44140625" style="5"/>
    <col min="8955" max="8955" width="8.109375" style="5" customWidth="1"/>
    <col min="8956" max="8956" width="47" style="5" customWidth="1"/>
    <col min="8957" max="8957" width="12.44140625" style="5" customWidth="1"/>
    <col min="8958" max="8958" width="33.6640625" style="5" customWidth="1"/>
    <col min="8959" max="8959" width="38.88671875" style="5" customWidth="1"/>
    <col min="8960" max="8960" width="32.33203125" style="5" customWidth="1"/>
    <col min="8961" max="8961" width="9.44140625" style="5" customWidth="1"/>
    <col min="8962" max="8962" width="11.88671875" style="5" customWidth="1"/>
    <col min="8963" max="8963" width="12.6640625" style="5" customWidth="1"/>
    <col min="8964" max="8964" width="14.77734375" style="5" customWidth="1"/>
    <col min="8965" max="8965" width="13.5546875" style="5" customWidth="1"/>
    <col min="8966" max="9210" width="11.44140625" style="5"/>
    <col min="9211" max="9211" width="8.109375" style="5" customWidth="1"/>
    <col min="9212" max="9212" width="47" style="5" customWidth="1"/>
    <col min="9213" max="9213" width="12.44140625" style="5" customWidth="1"/>
    <col min="9214" max="9214" width="33.6640625" style="5" customWidth="1"/>
    <col min="9215" max="9215" width="38.88671875" style="5" customWidth="1"/>
    <col min="9216" max="9216" width="32.33203125" style="5" customWidth="1"/>
    <col min="9217" max="9217" width="9.44140625" style="5" customWidth="1"/>
    <col min="9218" max="9218" width="11.88671875" style="5" customWidth="1"/>
    <col min="9219" max="9219" width="12.6640625" style="5" customWidth="1"/>
    <col min="9220" max="9220" width="14.77734375" style="5" customWidth="1"/>
    <col min="9221" max="9221" width="13.5546875" style="5" customWidth="1"/>
    <col min="9222" max="9466" width="11.44140625" style="5"/>
    <col min="9467" max="9467" width="8.109375" style="5" customWidth="1"/>
    <col min="9468" max="9468" width="47" style="5" customWidth="1"/>
    <col min="9469" max="9469" width="12.44140625" style="5" customWidth="1"/>
    <col min="9470" max="9470" width="33.6640625" style="5" customWidth="1"/>
    <col min="9471" max="9471" width="38.88671875" style="5" customWidth="1"/>
    <col min="9472" max="9472" width="32.33203125" style="5" customWidth="1"/>
    <col min="9473" max="9473" width="9.44140625" style="5" customWidth="1"/>
    <col min="9474" max="9474" width="11.88671875" style="5" customWidth="1"/>
    <col min="9475" max="9475" width="12.6640625" style="5" customWidth="1"/>
    <col min="9476" max="9476" width="14.77734375" style="5" customWidth="1"/>
    <col min="9477" max="9477" width="13.5546875" style="5" customWidth="1"/>
    <col min="9478" max="9722" width="11.44140625" style="5"/>
    <col min="9723" max="9723" width="8.109375" style="5" customWidth="1"/>
    <col min="9724" max="9724" width="47" style="5" customWidth="1"/>
    <col min="9725" max="9725" width="12.44140625" style="5" customWidth="1"/>
    <col min="9726" max="9726" width="33.6640625" style="5" customWidth="1"/>
    <col min="9727" max="9727" width="38.88671875" style="5" customWidth="1"/>
    <col min="9728" max="9728" width="32.33203125" style="5" customWidth="1"/>
    <col min="9729" max="9729" width="9.44140625" style="5" customWidth="1"/>
    <col min="9730" max="9730" width="11.88671875" style="5" customWidth="1"/>
    <col min="9731" max="9731" width="12.6640625" style="5" customWidth="1"/>
    <col min="9732" max="9732" width="14.77734375" style="5" customWidth="1"/>
    <col min="9733" max="9733" width="13.5546875" style="5" customWidth="1"/>
    <col min="9734" max="9978" width="11.44140625" style="5"/>
    <col min="9979" max="9979" width="8.109375" style="5" customWidth="1"/>
    <col min="9980" max="9980" width="47" style="5" customWidth="1"/>
    <col min="9981" max="9981" width="12.44140625" style="5" customWidth="1"/>
    <col min="9982" max="9982" width="33.6640625" style="5" customWidth="1"/>
    <col min="9983" max="9983" width="38.88671875" style="5" customWidth="1"/>
    <col min="9984" max="9984" width="32.33203125" style="5" customWidth="1"/>
    <col min="9985" max="9985" width="9.44140625" style="5" customWidth="1"/>
    <col min="9986" max="9986" width="11.88671875" style="5" customWidth="1"/>
    <col min="9987" max="9987" width="12.6640625" style="5" customWidth="1"/>
    <col min="9988" max="9988" width="14.77734375" style="5" customWidth="1"/>
    <col min="9989" max="9989" width="13.5546875" style="5" customWidth="1"/>
    <col min="9990" max="10234" width="11.44140625" style="5"/>
    <col min="10235" max="10235" width="8.109375" style="5" customWidth="1"/>
    <col min="10236" max="10236" width="47" style="5" customWidth="1"/>
    <col min="10237" max="10237" width="12.44140625" style="5" customWidth="1"/>
    <col min="10238" max="10238" width="33.6640625" style="5" customWidth="1"/>
    <col min="10239" max="10239" width="38.88671875" style="5" customWidth="1"/>
    <col min="10240" max="10240" width="32.33203125" style="5" customWidth="1"/>
    <col min="10241" max="10241" width="9.44140625" style="5" customWidth="1"/>
    <col min="10242" max="10242" width="11.88671875" style="5" customWidth="1"/>
    <col min="10243" max="10243" width="12.6640625" style="5" customWidth="1"/>
    <col min="10244" max="10244" width="14.77734375" style="5" customWidth="1"/>
    <col min="10245" max="10245" width="13.5546875" style="5" customWidth="1"/>
    <col min="10246" max="10490" width="11.44140625" style="5"/>
    <col min="10491" max="10491" width="8.109375" style="5" customWidth="1"/>
    <col min="10492" max="10492" width="47" style="5" customWidth="1"/>
    <col min="10493" max="10493" width="12.44140625" style="5" customWidth="1"/>
    <col min="10494" max="10494" width="33.6640625" style="5" customWidth="1"/>
    <col min="10495" max="10495" width="38.88671875" style="5" customWidth="1"/>
    <col min="10496" max="10496" width="32.33203125" style="5" customWidth="1"/>
    <col min="10497" max="10497" width="9.44140625" style="5" customWidth="1"/>
    <col min="10498" max="10498" width="11.88671875" style="5" customWidth="1"/>
    <col min="10499" max="10499" width="12.6640625" style="5" customWidth="1"/>
    <col min="10500" max="10500" width="14.77734375" style="5" customWidth="1"/>
    <col min="10501" max="10501" width="13.5546875" style="5" customWidth="1"/>
    <col min="10502" max="10746" width="11.44140625" style="5"/>
    <col min="10747" max="10747" width="8.109375" style="5" customWidth="1"/>
    <col min="10748" max="10748" width="47" style="5" customWidth="1"/>
    <col min="10749" max="10749" width="12.44140625" style="5" customWidth="1"/>
    <col min="10750" max="10750" width="33.6640625" style="5" customWidth="1"/>
    <col min="10751" max="10751" width="38.88671875" style="5" customWidth="1"/>
    <col min="10752" max="10752" width="32.33203125" style="5" customWidth="1"/>
    <col min="10753" max="10753" width="9.44140625" style="5" customWidth="1"/>
    <col min="10754" max="10754" width="11.88671875" style="5" customWidth="1"/>
    <col min="10755" max="10755" width="12.6640625" style="5" customWidth="1"/>
    <col min="10756" max="10756" width="14.77734375" style="5" customWidth="1"/>
    <col min="10757" max="10757" width="13.5546875" style="5" customWidth="1"/>
    <col min="10758" max="11002" width="11.44140625" style="5"/>
    <col min="11003" max="11003" width="8.109375" style="5" customWidth="1"/>
    <col min="11004" max="11004" width="47" style="5" customWidth="1"/>
    <col min="11005" max="11005" width="12.44140625" style="5" customWidth="1"/>
    <col min="11006" max="11006" width="33.6640625" style="5" customWidth="1"/>
    <col min="11007" max="11007" width="38.88671875" style="5" customWidth="1"/>
    <col min="11008" max="11008" width="32.33203125" style="5" customWidth="1"/>
    <col min="11009" max="11009" width="9.44140625" style="5" customWidth="1"/>
    <col min="11010" max="11010" width="11.88671875" style="5" customWidth="1"/>
    <col min="11011" max="11011" width="12.6640625" style="5" customWidth="1"/>
    <col min="11012" max="11012" width="14.77734375" style="5" customWidth="1"/>
    <col min="11013" max="11013" width="13.5546875" style="5" customWidth="1"/>
    <col min="11014" max="11258" width="11.44140625" style="5"/>
    <col min="11259" max="11259" width="8.109375" style="5" customWidth="1"/>
    <col min="11260" max="11260" width="47" style="5" customWidth="1"/>
    <col min="11261" max="11261" width="12.44140625" style="5" customWidth="1"/>
    <col min="11262" max="11262" width="33.6640625" style="5" customWidth="1"/>
    <col min="11263" max="11263" width="38.88671875" style="5" customWidth="1"/>
    <col min="11264" max="11264" width="32.33203125" style="5" customWidth="1"/>
    <col min="11265" max="11265" width="9.44140625" style="5" customWidth="1"/>
    <col min="11266" max="11266" width="11.88671875" style="5" customWidth="1"/>
    <col min="11267" max="11267" width="12.6640625" style="5" customWidth="1"/>
    <col min="11268" max="11268" width="14.77734375" style="5" customWidth="1"/>
    <col min="11269" max="11269" width="13.5546875" style="5" customWidth="1"/>
    <col min="11270" max="11514" width="11.44140625" style="5"/>
    <col min="11515" max="11515" width="8.109375" style="5" customWidth="1"/>
    <col min="11516" max="11516" width="47" style="5" customWidth="1"/>
    <col min="11517" max="11517" width="12.44140625" style="5" customWidth="1"/>
    <col min="11518" max="11518" width="33.6640625" style="5" customWidth="1"/>
    <col min="11519" max="11519" width="38.88671875" style="5" customWidth="1"/>
    <col min="11520" max="11520" width="32.33203125" style="5" customWidth="1"/>
    <col min="11521" max="11521" width="9.44140625" style="5" customWidth="1"/>
    <col min="11522" max="11522" width="11.88671875" style="5" customWidth="1"/>
    <col min="11523" max="11523" width="12.6640625" style="5" customWidth="1"/>
    <col min="11524" max="11524" width="14.77734375" style="5" customWidth="1"/>
    <col min="11525" max="11525" width="13.5546875" style="5" customWidth="1"/>
    <col min="11526" max="11770" width="11.44140625" style="5"/>
    <col min="11771" max="11771" width="8.109375" style="5" customWidth="1"/>
    <col min="11772" max="11772" width="47" style="5" customWidth="1"/>
    <col min="11773" max="11773" width="12.44140625" style="5" customWidth="1"/>
    <col min="11774" max="11774" width="33.6640625" style="5" customWidth="1"/>
    <col min="11775" max="11775" width="38.88671875" style="5" customWidth="1"/>
    <col min="11776" max="11776" width="32.33203125" style="5" customWidth="1"/>
    <col min="11777" max="11777" width="9.44140625" style="5" customWidth="1"/>
    <col min="11778" max="11778" width="11.88671875" style="5" customWidth="1"/>
    <col min="11779" max="11779" width="12.6640625" style="5" customWidth="1"/>
    <col min="11780" max="11780" width="14.77734375" style="5" customWidth="1"/>
    <col min="11781" max="11781" width="13.5546875" style="5" customWidth="1"/>
    <col min="11782" max="12026" width="11.44140625" style="5"/>
    <col min="12027" max="12027" width="8.109375" style="5" customWidth="1"/>
    <col min="12028" max="12028" width="47" style="5" customWidth="1"/>
    <col min="12029" max="12029" width="12.44140625" style="5" customWidth="1"/>
    <col min="12030" max="12030" width="33.6640625" style="5" customWidth="1"/>
    <col min="12031" max="12031" width="38.88671875" style="5" customWidth="1"/>
    <col min="12032" max="12032" width="32.33203125" style="5" customWidth="1"/>
    <col min="12033" max="12033" width="9.44140625" style="5" customWidth="1"/>
    <col min="12034" max="12034" width="11.88671875" style="5" customWidth="1"/>
    <col min="12035" max="12035" width="12.6640625" style="5" customWidth="1"/>
    <col min="12036" max="12036" width="14.77734375" style="5" customWidth="1"/>
    <col min="12037" max="12037" width="13.5546875" style="5" customWidth="1"/>
    <col min="12038" max="12282" width="11.44140625" style="5"/>
    <col min="12283" max="12283" width="8.109375" style="5" customWidth="1"/>
    <col min="12284" max="12284" width="47" style="5" customWidth="1"/>
    <col min="12285" max="12285" width="12.44140625" style="5" customWidth="1"/>
    <col min="12286" max="12286" width="33.6640625" style="5" customWidth="1"/>
    <col min="12287" max="12287" width="38.88671875" style="5" customWidth="1"/>
    <col min="12288" max="12288" width="32.33203125" style="5" customWidth="1"/>
    <col min="12289" max="12289" width="9.44140625" style="5" customWidth="1"/>
    <col min="12290" max="12290" width="11.88671875" style="5" customWidth="1"/>
    <col min="12291" max="12291" width="12.6640625" style="5" customWidth="1"/>
    <col min="12292" max="12292" width="14.77734375" style="5" customWidth="1"/>
    <col min="12293" max="12293" width="13.5546875" style="5" customWidth="1"/>
    <col min="12294" max="12538" width="11.44140625" style="5"/>
    <col min="12539" max="12539" width="8.109375" style="5" customWidth="1"/>
    <col min="12540" max="12540" width="47" style="5" customWidth="1"/>
    <col min="12541" max="12541" width="12.44140625" style="5" customWidth="1"/>
    <col min="12542" max="12542" width="33.6640625" style="5" customWidth="1"/>
    <col min="12543" max="12543" width="38.88671875" style="5" customWidth="1"/>
    <col min="12544" max="12544" width="32.33203125" style="5" customWidth="1"/>
    <col min="12545" max="12545" width="9.44140625" style="5" customWidth="1"/>
    <col min="12546" max="12546" width="11.88671875" style="5" customWidth="1"/>
    <col min="12547" max="12547" width="12.6640625" style="5" customWidth="1"/>
    <col min="12548" max="12548" width="14.77734375" style="5" customWidth="1"/>
    <col min="12549" max="12549" width="13.5546875" style="5" customWidth="1"/>
    <col min="12550" max="12794" width="11.44140625" style="5"/>
    <col min="12795" max="12795" width="8.109375" style="5" customWidth="1"/>
    <col min="12796" max="12796" width="47" style="5" customWidth="1"/>
    <col min="12797" max="12797" width="12.44140625" style="5" customWidth="1"/>
    <col min="12798" max="12798" width="33.6640625" style="5" customWidth="1"/>
    <col min="12799" max="12799" width="38.88671875" style="5" customWidth="1"/>
    <col min="12800" max="12800" width="32.33203125" style="5" customWidth="1"/>
    <col min="12801" max="12801" width="9.44140625" style="5" customWidth="1"/>
    <col min="12802" max="12802" width="11.88671875" style="5" customWidth="1"/>
    <col min="12803" max="12803" width="12.6640625" style="5" customWidth="1"/>
    <col min="12804" max="12804" width="14.77734375" style="5" customWidth="1"/>
    <col min="12805" max="12805" width="13.5546875" style="5" customWidth="1"/>
    <col min="12806" max="13050" width="11.44140625" style="5"/>
    <col min="13051" max="13051" width="8.109375" style="5" customWidth="1"/>
    <col min="13052" max="13052" width="47" style="5" customWidth="1"/>
    <col min="13053" max="13053" width="12.44140625" style="5" customWidth="1"/>
    <col min="13054" max="13054" width="33.6640625" style="5" customWidth="1"/>
    <col min="13055" max="13055" width="38.88671875" style="5" customWidth="1"/>
    <col min="13056" max="13056" width="32.33203125" style="5" customWidth="1"/>
    <col min="13057" max="13057" width="9.44140625" style="5" customWidth="1"/>
    <col min="13058" max="13058" width="11.88671875" style="5" customWidth="1"/>
    <col min="13059" max="13059" width="12.6640625" style="5" customWidth="1"/>
    <col min="13060" max="13060" width="14.77734375" style="5" customWidth="1"/>
    <col min="13061" max="13061" width="13.5546875" style="5" customWidth="1"/>
    <col min="13062" max="13306" width="11.44140625" style="5"/>
    <col min="13307" max="13307" width="8.109375" style="5" customWidth="1"/>
    <col min="13308" max="13308" width="47" style="5" customWidth="1"/>
    <col min="13309" max="13309" width="12.44140625" style="5" customWidth="1"/>
    <col min="13310" max="13310" width="33.6640625" style="5" customWidth="1"/>
    <col min="13311" max="13311" width="38.88671875" style="5" customWidth="1"/>
    <col min="13312" max="13312" width="32.33203125" style="5" customWidth="1"/>
    <col min="13313" max="13313" width="9.44140625" style="5" customWidth="1"/>
    <col min="13314" max="13314" width="11.88671875" style="5" customWidth="1"/>
    <col min="13315" max="13315" width="12.6640625" style="5" customWidth="1"/>
    <col min="13316" max="13316" width="14.77734375" style="5" customWidth="1"/>
    <col min="13317" max="13317" width="13.5546875" style="5" customWidth="1"/>
    <col min="13318" max="13562" width="11.44140625" style="5"/>
    <col min="13563" max="13563" width="8.109375" style="5" customWidth="1"/>
    <col min="13564" max="13564" width="47" style="5" customWidth="1"/>
    <col min="13565" max="13565" width="12.44140625" style="5" customWidth="1"/>
    <col min="13566" max="13566" width="33.6640625" style="5" customWidth="1"/>
    <col min="13567" max="13567" width="38.88671875" style="5" customWidth="1"/>
    <col min="13568" max="13568" width="32.33203125" style="5" customWidth="1"/>
    <col min="13569" max="13569" width="9.44140625" style="5" customWidth="1"/>
    <col min="13570" max="13570" width="11.88671875" style="5" customWidth="1"/>
    <col min="13571" max="13571" width="12.6640625" style="5" customWidth="1"/>
    <col min="13572" max="13572" width="14.77734375" style="5" customWidth="1"/>
    <col min="13573" max="13573" width="13.5546875" style="5" customWidth="1"/>
    <col min="13574" max="13818" width="11.44140625" style="5"/>
    <col min="13819" max="13819" width="8.109375" style="5" customWidth="1"/>
    <col min="13820" max="13820" width="47" style="5" customWidth="1"/>
    <col min="13821" max="13821" width="12.44140625" style="5" customWidth="1"/>
    <col min="13822" max="13822" width="33.6640625" style="5" customWidth="1"/>
    <col min="13823" max="13823" width="38.88671875" style="5" customWidth="1"/>
    <col min="13824" max="13824" width="32.33203125" style="5" customWidth="1"/>
    <col min="13825" max="13825" width="9.44140625" style="5" customWidth="1"/>
    <col min="13826" max="13826" width="11.88671875" style="5" customWidth="1"/>
    <col min="13827" max="13827" width="12.6640625" style="5" customWidth="1"/>
    <col min="13828" max="13828" width="14.77734375" style="5" customWidth="1"/>
    <col min="13829" max="13829" width="13.5546875" style="5" customWidth="1"/>
    <col min="13830" max="14074" width="11.44140625" style="5"/>
    <col min="14075" max="14075" width="8.109375" style="5" customWidth="1"/>
    <col min="14076" max="14076" width="47" style="5" customWidth="1"/>
    <col min="14077" max="14077" width="12.44140625" style="5" customWidth="1"/>
    <col min="14078" max="14078" width="33.6640625" style="5" customWidth="1"/>
    <col min="14079" max="14079" width="38.88671875" style="5" customWidth="1"/>
    <col min="14080" max="14080" width="32.33203125" style="5" customWidth="1"/>
    <col min="14081" max="14081" width="9.44140625" style="5" customWidth="1"/>
    <col min="14082" max="14082" width="11.88671875" style="5" customWidth="1"/>
    <col min="14083" max="14083" width="12.6640625" style="5" customWidth="1"/>
    <col min="14084" max="14084" width="14.77734375" style="5" customWidth="1"/>
    <col min="14085" max="14085" width="13.5546875" style="5" customWidth="1"/>
    <col min="14086" max="14330" width="11.44140625" style="5"/>
    <col min="14331" max="14331" width="8.109375" style="5" customWidth="1"/>
    <col min="14332" max="14332" width="47" style="5" customWidth="1"/>
    <col min="14333" max="14333" width="12.44140625" style="5" customWidth="1"/>
    <col min="14334" max="14334" width="33.6640625" style="5" customWidth="1"/>
    <col min="14335" max="14335" width="38.88671875" style="5" customWidth="1"/>
    <col min="14336" max="14336" width="32.33203125" style="5" customWidth="1"/>
    <col min="14337" max="14337" width="9.44140625" style="5" customWidth="1"/>
    <col min="14338" max="14338" width="11.88671875" style="5" customWidth="1"/>
    <col min="14339" max="14339" width="12.6640625" style="5" customWidth="1"/>
    <col min="14340" max="14340" width="14.77734375" style="5" customWidth="1"/>
    <col min="14341" max="14341" width="13.5546875" style="5" customWidth="1"/>
    <col min="14342" max="14586" width="11.44140625" style="5"/>
    <col min="14587" max="14587" width="8.109375" style="5" customWidth="1"/>
    <col min="14588" max="14588" width="47" style="5" customWidth="1"/>
    <col min="14589" max="14589" width="12.44140625" style="5" customWidth="1"/>
    <col min="14590" max="14590" width="33.6640625" style="5" customWidth="1"/>
    <col min="14591" max="14591" width="38.88671875" style="5" customWidth="1"/>
    <col min="14592" max="14592" width="32.33203125" style="5" customWidth="1"/>
    <col min="14593" max="14593" width="9.44140625" style="5" customWidth="1"/>
    <col min="14594" max="14594" width="11.88671875" style="5" customWidth="1"/>
    <col min="14595" max="14595" width="12.6640625" style="5" customWidth="1"/>
    <col min="14596" max="14596" width="14.77734375" style="5" customWidth="1"/>
    <col min="14597" max="14597" width="13.5546875" style="5" customWidth="1"/>
    <col min="14598" max="14842" width="11.44140625" style="5"/>
    <col min="14843" max="14843" width="8.109375" style="5" customWidth="1"/>
    <col min="14844" max="14844" width="47" style="5" customWidth="1"/>
    <col min="14845" max="14845" width="12.44140625" style="5" customWidth="1"/>
    <col min="14846" max="14846" width="33.6640625" style="5" customWidth="1"/>
    <col min="14847" max="14847" width="38.88671875" style="5" customWidth="1"/>
    <col min="14848" max="14848" width="32.33203125" style="5" customWidth="1"/>
    <col min="14849" max="14849" width="9.44140625" style="5" customWidth="1"/>
    <col min="14850" max="14850" width="11.88671875" style="5" customWidth="1"/>
    <col min="14851" max="14851" width="12.6640625" style="5" customWidth="1"/>
    <col min="14852" max="14852" width="14.77734375" style="5" customWidth="1"/>
    <col min="14853" max="14853" width="13.5546875" style="5" customWidth="1"/>
    <col min="14854" max="15098" width="11.44140625" style="5"/>
    <col min="15099" max="15099" width="8.109375" style="5" customWidth="1"/>
    <col min="15100" max="15100" width="47" style="5" customWidth="1"/>
    <col min="15101" max="15101" width="12.44140625" style="5" customWidth="1"/>
    <col min="15102" max="15102" width="33.6640625" style="5" customWidth="1"/>
    <col min="15103" max="15103" width="38.88671875" style="5" customWidth="1"/>
    <col min="15104" max="15104" width="32.33203125" style="5" customWidth="1"/>
    <col min="15105" max="15105" width="9.44140625" style="5" customWidth="1"/>
    <col min="15106" max="15106" width="11.88671875" style="5" customWidth="1"/>
    <col min="15107" max="15107" width="12.6640625" style="5" customWidth="1"/>
    <col min="15108" max="15108" width="14.77734375" style="5" customWidth="1"/>
    <col min="15109" max="15109" width="13.5546875" style="5" customWidth="1"/>
    <col min="15110" max="15354" width="11.44140625" style="5"/>
    <col min="15355" max="15355" width="8.109375" style="5" customWidth="1"/>
    <col min="15356" max="15356" width="47" style="5" customWidth="1"/>
    <col min="15357" max="15357" width="12.44140625" style="5" customWidth="1"/>
    <col min="15358" max="15358" width="33.6640625" style="5" customWidth="1"/>
    <col min="15359" max="15359" width="38.88671875" style="5" customWidth="1"/>
    <col min="15360" max="15360" width="32.33203125" style="5" customWidth="1"/>
    <col min="15361" max="15361" width="9.44140625" style="5" customWidth="1"/>
    <col min="15362" max="15362" width="11.88671875" style="5" customWidth="1"/>
    <col min="15363" max="15363" width="12.6640625" style="5" customWidth="1"/>
    <col min="15364" max="15364" width="14.77734375" style="5" customWidth="1"/>
    <col min="15365" max="15365" width="13.5546875" style="5" customWidth="1"/>
    <col min="15366" max="15610" width="11.44140625" style="5"/>
    <col min="15611" max="15611" width="8.109375" style="5" customWidth="1"/>
    <col min="15612" max="15612" width="47" style="5" customWidth="1"/>
    <col min="15613" max="15613" width="12.44140625" style="5" customWidth="1"/>
    <col min="15614" max="15614" width="33.6640625" style="5" customWidth="1"/>
    <col min="15615" max="15615" width="38.88671875" style="5" customWidth="1"/>
    <col min="15616" max="15616" width="32.33203125" style="5" customWidth="1"/>
    <col min="15617" max="15617" width="9.44140625" style="5" customWidth="1"/>
    <col min="15618" max="15618" width="11.88671875" style="5" customWidth="1"/>
    <col min="15619" max="15619" width="12.6640625" style="5" customWidth="1"/>
    <col min="15620" max="15620" width="14.77734375" style="5" customWidth="1"/>
    <col min="15621" max="15621" width="13.5546875" style="5" customWidth="1"/>
    <col min="15622" max="15866" width="11.44140625" style="5"/>
    <col min="15867" max="15867" width="8.109375" style="5" customWidth="1"/>
    <col min="15868" max="15868" width="47" style="5" customWidth="1"/>
    <col min="15869" max="15869" width="12.44140625" style="5" customWidth="1"/>
    <col min="15870" max="15870" width="33.6640625" style="5" customWidth="1"/>
    <col min="15871" max="15871" width="38.88671875" style="5" customWidth="1"/>
    <col min="15872" max="15872" width="32.33203125" style="5" customWidth="1"/>
    <col min="15873" max="15873" width="9.44140625" style="5" customWidth="1"/>
    <col min="15874" max="15874" width="11.88671875" style="5" customWidth="1"/>
    <col min="15875" max="15875" width="12.6640625" style="5" customWidth="1"/>
    <col min="15876" max="15876" width="14.77734375" style="5" customWidth="1"/>
    <col min="15877" max="15877" width="13.5546875" style="5" customWidth="1"/>
    <col min="15878" max="16122" width="11.44140625" style="5"/>
    <col min="16123" max="16123" width="8.109375" style="5" customWidth="1"/>
    <col min="16124" max="16124" width="47" style="5" customWidth="1"/>
    <col min="16125" max="16125" width="12.44140625" style="5" customWidth="1"/>
    <col min="16126" max="16126" width="33.6640625" style="5" customWidth="1"/>
    <col min="16127" max="16127" width="38.88671875" style="5" customWidth="1"/>
    <col min="16128" max="16128" width="32.33203125" style="5" customWidth="1"/>
    <col min="16129" max="16129" width="9.44140625" style="5" customWidth="1"/>
    <col min="16130" max="16130" width="11.88671875" style="5" customWidth="1"/>
    <col min="16131" max="16131" width="12.6640625" style="5" customWidth="1"/>
    <col min="16132" max="16132" width="14.77734375" style="5" customWidth="1"/>
    <col min="16133" max="16133" width="13.5546875" style="5" customWidth="1"/>
    <col min="16134" max="16384" width="11.44140625" style="5"/>
  </cols>
  <sheetData>
    <row r="1" spans="1:10" ht="15.6" x14ac:dyDescent="0.3">
      <c r="A1" s="86" t="s">
        <v>212</v>
      </c>
      <c r="B1" s="87"/>
      <c r="C1" s="87"/>
      <c r="D1" s="87"/>
      <c r="E1" s="87"/>
      <c r="F1" s="87"/>
    </row>
    <row r="2" spans="1:10" s="1" customFormat="1" ht="19.8" x14ac:dyDescent="0.4">
      <c r="A2" s="88" t="s">
        <v>0</v>
      </c>
      <c r="B2" s="88" t="s">
        <v>1</v>
      </c>
      <c r="C2" s="88" t="s">
        <v>2</v>
      </c>
      <c r="D2" s="89" t="s">
        <v>214</v>
      </c>
      <c r="E2" s="90"/>
      <c r="F2" s="22" t="s">
        <v>213</v>
      </c>
      <c r="G2" s="64"/>
      <c r="H2" s="65"/>
    </row>
    <row r="3" spans="1:10" s="1" customFormat="1" ht="19.8" x14ac:dyDescent="0.4">
      <c r="A3" s="88"/>
      <c r="B3" s="88"/>
      <c r="C3" s="88"/>
      <c r="D3" s="41" t="s">
        <v>215</v>
      </c>
      <c r="E3" s="23" t="s">
        <v>216</v>
      </c>
      <c r="F3" s="22"/>
      <c r="G3" s="64"/>
      <c r="H3" s="65"/>
    </row>
    <row r="4" spans="1:10" s="2" customFormat="1" ht="15.6" x14ac:dyDescent="0.3">
      <c r="A4" s="7">
        <v>1</v>
      </c>
      <c r="B4" s="11" t="s">
        <v>76</v>
      </c>
      <c r="C4" s="11">
        <v>80146792</v>
      </c>
      <c r="D4" s="42">
        <v>550000</v>
      </c>
      <c r="E4" s="16"/>
      <c r="F4" s="11" t="s">
        <v>4</v>
      </c>
      <c r="G4" s="66"/>
      <c r="H4" s="67"/>
    </row>
    <row r="5" spans="1:10" s="2" customFormat="1" ht="15.6" x14ac:dyDescent="0.3">
      <c r="A5" s="7">
        <v>2</v>
      </c>
      <c r="B5" s="9" t="s">
        <v>159</v>
      </c>
      <c r="C5" s="9">
        <v>1638926</v>
      </c>
      <c r="D5" s="43">
        <f>+G5/12</f>
        <v>440000</v>
      </c>
      <c r="E5" s="17"/>
      <c r="F5" s="9" t="s">
        <v>4</v>
      </c>
      <c r="G5" s="66">
        <v>5280000</v>
      </c>
      <c r="H5" s="67"/>
    </row>
    <row r="6" spans="1:10" s="2" customFormat="1" ht="15.6" x14ac:dyDescent="0.3">
      <c r="A6" s="7">
        <v>3</v>
      </c>
      <c r="B6" s="8" t="s">
        <v>50</v>
      </c>
      <c r="C6" s="8">
        <v>2518231</v>
      </c>
      <c r="D6" s="42">
        <v>275000</v>
      </c>
      <c r="E6" s="16"/>
      <c r="F6" s="8" t="s">
        <v>51</v>
      </c>
      <c r="G6" s="66"/>
      <c r="H6" s="67"/>
    </row>
    <row r="7" spans="1:10" s="2" customFormat="1" ht="15.6" x14ac:dyDescent="0.3">
      <c r="A7" s="7">
        <v>4</v>
      </c>
      <c r="B7" s="8" t="s">
        <v>12</v>
      </c>
      <c r="C7" s="8">
        <v>3489390</v>
      </c>
      <c r="D7" s="42"/>
      <c r="E7" s="16">
        <f>+H7/12</f>
        <v>266.66666666666669</v>
      </c>
      <c r="F7" s="8" t="s">
        <v>13</v>
      </c>
      <c r="G7" s="66"/>
      <c r="H7" s="67">
        <f>1600*2</f>
        <v>3200</v>
      </c>
      <c r="I7" s="72" t="s">
        <v>394</v>
      </c>
      <c r="J7" s="73">
        <v>1600</v>
      </c>
    </row>
    <row r="8" spans="1:10" ht="15.6" x14ac:dyDescent="0.3">
      <c r="A8" s="7">
        <v>5</v>
      </c>
      <c r="B8" s="35" t="s">
        <v>25</v>
      </c>
      <c r="C8" s="35">
        <v>1778790</v>
      </c>
      <c r="D8" s="46"/>
      <c r="E8" s="36"/>
      <c r="F8" s="35" t="s">
        <v>9</v>
      </c>
    </row>
    <row r="9" spans="1:10" ht="15.6" x14ac:dyDescent="0.3">
      <c r="A9" s="7">
        <v>6</v>
      </c>
      <c r="B9" s="25" t="s">
        <v>247</v>
      </c>
      <c r="C9" s="26">
        <v>4853460</v>
      </c>
      <c r="D9" s="56">
        <v>180000</v>
      </c>
      <c r="E9" s="57"/>
      <c r="F9" s="6" t="s">
        <v>248</v>
      </c>
    </row>
    <row r="10" spans="1:10" ht="15.6" x14ac:dyDescent="0.3">
      <c r="A10" s="84">
        <v>7</v>
      </c>
      <c r="B10" s="35" t="s">
        <v>152</v>
      </c>
      <c r="C10" s="35">
        <v>80044916</v>
      </c>
      <c r="D10" s="46"/>
      <c r="E10" s="36"/>
      <c r="F10" s="35" t="s">
        <v>44</v>
      </c>
    </row>
    <row r="11" spans="1:10" ht="15.6" x14ac:dyDescent="0.3">
      <c r="A11" s="7">
        <v>8</v>
      </c>
      <c r="B11" s="8" t="s">
        <v>5</v>
      </c>
      <c r="C11" s="8">
        <v>80066840</v>
      </c>
      <c r="D11" s="42">
        <v>1700000</v>
      </c>
      <c r="E11" s="16"/>
      <c r="F11" s="8" t="s">
        <v>4</v>
      </c>
    </row>
    <row r="12" spans="1:10" ht="15.6" x14ac:dyDescent="0.3">
      <c r="A12" s="7">
        <v>9</v>
      </c>
      <c r="B12" s="14" t="s">
        <v>120</v>
      </c>
      <c r="C12" s="14">
        <v>1087914</v>
      </c>
      <c r="D12" s="48">
        <v>320000</v>
      </c>
      <c r="E12" s="20"/>
      <c r="F12" s="8" t="s">
        <v>121</v>
      </c>
    </row>
    <row r="13" spans="1:10" ht="15.6" x14ac:dyDescent="0.3">
      <c r="A13" s="7">
        <v>10</v>
      </c>
      <c r="B13" s="9" t="s">
        <v>115</v>
      </c>
      <c r="C13" s="9">
        <v>3594514</v>
      </c>
      <c r="D13" s="43"/>
      <c r="E13" s="17"/>
      <c r="F13" s="9" t="s">
        <v>116</v>
      </c>
    </row>
    <row r="14" spans="1:10" ht="15.6" x14ac:dyDescent="0.3">
      <c r="A14" s="7">
        <v>11</v>
      </c>
      <c r="B14" s="25" t="s">
        <v>318</v>
      </c>
      <c r="C14" s="26">
        <v>6263995</v>
      </c>
      <c r="D14" s="56">
        <v>220000</v>
      </c>
      <c r="E14" s="57"/>
      <c r="F14" s="6" t="s">
        <v>319</v>
      </c>
    </row>
    <row r="15" spans="1:10" ht="15.6" x14ac:dyDescent="0.3">
      <c r="A15" s="7">
        <v>12</v>
      </c>
      <c r="B15" s="9" t="s">
        <v>149</v>
      </c>
      <c r="C15" s="9">
        <v>4342206</v>
      </c>
      <c r="D15" s="43">
        <v>330000</v>
      </c>
      <c r="E15" s="17"/>
      <c r="F15" s="9" t="s">
        <v>46</v>
      </c>
    </row>
    <row r="16" spans="1:10" ht="15.6" x14ac:dyDescent="0.3">
      <c r="A16" s="7">
        <v>13</v>
      </c>
      <c r="B16" s="9" t="s">
        <v>133</v>
      </c>
      <c r="C16" s="9">
        <v>3826965</v>
      </c>
      <c r="D16" s="43">
        <f>+G16/12</f>
        <v>550000</v>
      </c>
      <c r="E16" s="17"/>
      <c r="F16" s="9" t="s">
        <v>4</v>
      </c>
      <c r="G16" s="62">
        <v>6600000</v>
      </c>
    </row>
    <row r="17" spans="1:6" ht="15.6" x14ac:dyDescent="0.3">
      <c r="A17" s="84">
        <v>14</v>
      </c>
      <c r="B17" s="51" t="s">
        <v>311</v>
      </c>
      <c r="C17" s="51">
        <v>2580083</v>
      </c>
      <c r="D17" s="52"/>
      <c r="E17" s="53"/>
      <c r="F17" s="51" t="s">
        <v>307</v>
      </c>
    </row>
    <row r="18" spans="1:6" ht="15.6" x14ac:dyDescent="0.3">
      <c r="A18" s="7">
        <v>15</v>
      </c>
      <c r="B18" s="8" t="s">
        <v>181</v>
      </c>
      <c r="C18" s="8">
        <v>3658908</v>
      </c>
      <c r="D18" s="42">
        <v>550000</v>
      </c>
      <c r="E18" s="16"/>
      <c r="F18" s="9" t="s">
        <v>4</v>
      </c>
    </row>
    <row r="19" spans="1:6" ht="15.6" x14ac:dyDescent="0.3">
      <c r="A19" s="7">
        <v>16</v>
      </c>
      <c r="B19" s="8" t="s">
        <v>310</v>
      </c>
      <c r="C19" s="8">
        <v>6018343</v>
      </c>
      <c r="D19" s="42">
        <v>220000</v>
      </c>
      <c r="E19" s="16"/>
      <c r="F19" s="8" t="s">
        <v>307</v>
      </c>
    </row>
    <row r="20" spans="1:6" ht="15.6" x14ac:dyDescent="0.3">
      <c r="A20" s="7">
        <v>17</v>
      </c>
      <c r="B20" s="25" t="s">
        <v>293</v>
      </c>
      <c r="C20" s="26">
        <v>7292431</v>
      </c>
      <c r="D20" s="56">
        <v>220000</v>
      </c>
      <c r="E20" s="57"/>
      <c r="F20" s="6" t="s">
        <v>289</v>
      </c>
    </row>
    <row r="21" spans="1:6" ht="15.6" x14ac:dyDescent="0.3">
      <c r="A21" s="7">
        <v>18</v>
      </c>
      <c r="B21" s="8" t="s">
        <v>41</v>
      </c>
      <c r="C21" s="8">
        <v>3669221</v>
      </c>
      <c r="D21" s="42">
        <v>220000</v>
      </c>
      <c r="E21" s="16"/>
      <c r="F21" s="8" t="s">
        <v>9</v>
      </c>
    </row>
    <row r="22" spans="1:6" ht="15.6" x14ac:dyDescent="0.3">
      <c r="A22" s="7">
        <v>19</v>
      </c>
      <c r="B22" s="9" t="s">
        <v>326</v>
      </c>
      <c r="C22" s="9">
        <v>6338066</v>
      </c>
      <c r="D22" s="43">
        <v>165000</v>
      </c>
      <c r="E22" s="17"/>
      <c r="F22" s="9" t="s">
        <v>46</v>
      </c>
    </row>
    <row r="23" spans="1:6" ht="15.6" x14ac:dyDescent="0.3">
      <c r="A23" s="7">
        <v>20</v>
      </c>
      <c r="B23" s="8" t="s">
        <v>6</v>
      </c>
      <c r="C23" s="8">
        <v>80069310</v>
      </c>
      <c r="D23" s="42">
        <v>2500000</v>
      </c>
      <c r="E23" s="16"/>
      <c r="F23" s="8" t="s">
        <v>4</v>
      </c>
    </row>
    <row r="24" spans="1:6" ht="15.6" x14ac:dyDescent="0.3">
      <c r="A24" s="7">
        <v>21</v>
      </c>
      <c r="B24" s="9" t="s">
        <v>390</v>
      </c>
      <c r="C24" s="9">
        <v>7459218</v>
      </c>
      <c r="D24" s="43">
        <v>165000</v>
      </c>
      <c r="E24" s="17"/>
      <c r="F24" s="14" t="s">
        <v>268</v>
      </c>
    </row>
    <row r="25" spans="1:6" ht="15.6" x14ac:dyDescent="0.3">
      <c r="A25" s="7">
        <v>22</v>
      </c>
      <c r="B25" s="8" t="s">
        <v>138</v>
      </c>
      <c r="C25" s="10">
        <v>80148775</v>
      </c>
      <c r="D25" s="45">
        <v>275000</v>
      </c>
      <c r="E25" s="18"/>
      <c r="F25" s="9" t="s">
        <v>4</v>
      </c>
    </row>
    <row r="26" spans="1:6" ht="15.6" x14ac:dyDescent="0.3">
      <c r="A26" s="7">
        <v>23</v>
      </c>
      <c r="B26" s="8" t="s">
        <v>47</v>
      </c>
      <c r="C26" s="8">
        <v>5511601</v>
      </c>
      <c r="D26" s="42">
        <v>350000</v>
      </c>
      <c r="E26" s="16"/>
      <c r="F26" s="8" t="s">
        <v>13</v>
      </c>
    </row>
    <row r="27" spans="1:6" ht="15.6" x14ac:dyDescent="0.3">
      <c r="A27" s="7">
        <v>24</v>
      </c>
      <c r="B27" s="11" t="s">
        <v>63</v>
      </c>
      <c r="C27" s="11">
        <v>6516902</v>
      </c>
      <c r="D27" s="42"/>
      <c r="E27" s="16">
        <v>330</v>
      </c>
      <c r="F27" s="11" t="s">
        <v>13</v>
      </c>
    </row>
    <row r="28" spans="1:6" ht="15.6" x14ac:dyDescent="0.3">
      <c r="A28" s="7">
        <v>25</v>
      </c>
      <c r="B28" s="9" t="s">
        <v>28</v>
      </c>
      <c r="C28" s="9">
        <v>5745750</v>
      </c>
      <c r="D28" s="43">
        <v>330000</v>
      </c>
      <c r="E28" s="17"/>
      <c r="F28" s="9" t="s">
        <v>29</v>
      </c>
    </row>
    <row r="29" spans="1:6" ht="15.6" x14ac:dyDescent="0.3">
      <c r="A29" s="7">
        <v>26</v>
      </c>
      <c r="B29" s="9" t="s">
        <v>385</v>
      </c>
      <c r="C29" s="9">
        <v>4780756</v>
      </c>
      <c r="D29" s="56"/>
      <c r="E29" s="57"/>
      <c r="F29" s="9" t="s">
        <v>116</v>
      </c>
    </row>
    <row r="30" spans="1:6" ht="15.6" x14ac:dyDescent="0.3">
      <c r="A30" s="7">
        <v>27</v>
      </c>
      <c r="B30" s="25" t="s">
        <v>369</v>
      </c>
      <c r="C30" s="26">
        <v>4910544</v>
      </c>
      <c r="D30" s="56">
        <v>110000</v>
      </c>
      <c r="E30" s="57"/>
      <c r="F30" s="6" t="s">
        <v>370</v>
      </c>
    </row>
    <row r="31" spans="1:6" ht="15.6" x14ac:dyDescent="0.3">
      <c r="A31" s="7">
        <v>28</v>
      </c>
      <c r="B31" s="9" t="s">
        <v>93</v>
      </c>
      <c r="C31" s="9">
        <v>1625863</v>
      </c>
      <c r="D31" s="43">
        <v>380000</v>
      </c>
      <c r="E31" s="17"/>
      <c r="F31" s="9" t="s">
        <v>15</v>
      </c>
    </row>
    <row r="32" spans="1:6" ht="15.6" x14ac:dyDescent="0.3">
      <c r="A32" s="7">
        <v>29</v>
      </c>
      <c r="B32" s="11" t="s">
        <v>62</v>
      </c>
      <c r="C32" s="11">
        <v>2486572</v>
      </c>
      <c r="D32" s="42">
        <v>220000</v>
      </c>
      <c r="E32" s="16"/>
      <c r="F32" s="11" t="s">
        <v>54</v>
      </c>
    </row>
    <row r="33" spans="1:8" ht="15.6" x14ac:dyDescent="0.3">
      <c r="A33" s="7">
        <v>30</v>
      </c>
      <c r="B33" s="25" t="s">
        <v>317</v>
      </c>
      <c r="C33" s="26">
        <v>3954904</v>
      </c>
      <c r="D33" s="56"/>
      <c r="E33" s="57"/>
      <c r="F33" s="6" t="s">
        <v>225</v>
      </c>
    </row>
    <row r="34" spans="1:8" ht="15.6" x14ac:dyDescent="0.3">
      <c r="A34" s="7">
        <v>31</v>
      </c>
      <c r="B34" s="9" t="s">
        <v>19</v>
      </c>
      <c r="C34" s="9">
        <v>5160990</v>
      </c>
      <c r="D34" s="43">
        <f>+G34/12</f>
        <v>180000</v>
      </c>
      <c r="E34" s="17"/>
      <c r="F34" s="9" t="s">
        <v>9</v>
      </c>
      <c r="G34" s="62">
        <v>2160000</v>
      </c>
    </row>
    <row r="35" spans="1:8" ht="15.6" x14ac:dyDescent="0.3">
      <c r="A35" s="7">
        <v>32</v>
      </c>
      <c r="B35" s="9" t="s">
        <v>194</v>
      </c>
      <c r="C35" s="9">
        <v>2520038</v>
      </c>
      <c r="D35" s="43">
        <f>+G35/12</f>
        <v>275000</v>
      </c>
      <c r="E35" s="17"/>
      <c r="F35" s="9" t="s">
        <v>46</v>
      </c>
      <c r="G35" s="62">
        <v>3300000</v>
      </c>
    </row>
    <row r="36" spans="1:8" s="3" customFormat="1" ht="15.6" x14ac:dyDescent="0.3">
      <c r="A36" s="7">
        <v>33</v>
      </c>
      <c r="B36" s="8" t="s">
        <v>104</v>
      </c>
      <c r="C36" s="8">
        <v>80149083</v>
      </c>
      <c r="D36" s="42">
        <v>550000</v>
      </c>
      <c r="E36" s="16"/>
      <c r="F36" s="8" t="s">
        <v>4</v>
      </c>
      <c r="G36" s="68"/>
      <c r="H36" s="69"/>
    </row>
    <row r="37" spans="1:8" s="4" customFormat="1" ht="15.6" x14ac:dyDescent="0.3">
      <c r="A37" s="7">
        <v>34</v>
      </c>
      <c r="B37" s="8" t="s">
        <v>48</v>
      </c>
      <c r="C37" s="8">
        <v>80137461</v>
      </c>
      <c r="D37" s="42">
        <v>275000</v>
      </c>
      <c r="E37" s="16"/>
      <c r="F37" s="8" t="s">
        <v>4</v>
      </c>
      <c r="G37" s="70"/>
      <c r="H37" s="71"/>
    </row>
    <row r="38" spans="1:8" s="2" customFormat="1" ht="15.6" x14ac:dyDescent="0.3">
      <c r="A38" s="7">
        <v>35</v>
      </c>
      <c r="B38" s="25" t="s">
        <v>272</v>
      </c>
      <c r="C38" s="26">
        <v>1296559</v>
      </c>
      <c r="D38" s="56"/>
      <c r="E38" s="57"/>
      <c r="F38" s="6"/>
      <c r="G38" s="66"/>
      <c r="H38" s="67"/>
    </row>
    <row r="39" spans="1:8" s="3" customFormat="1" ht="15.6" x14ac:dyDescent="0.3">
      <c r="A39" s="7">
        <v>36</v>
      </c>
      <c r="B39" s="25" t="s">
        <v>388</v>
      </c>
      <c r="C39" s="26">
        <v>9277527</v>
      </c>
      <c r="D39" s="56">
        <v>220000</v>
      </c>
      <c r="E39" s="57"/>
      <c r="F39" s="6" t="s">
        <v>368</v>
      </c>
      <c r="G39" s="68"/>
      <c r="H39" s="69"/>
    </row>
    <row r="40" spans="1:8" ht="15.6" x14ac:dyDescent="0.3">
      <c r="A40" s="7">
        <v>37</v>
      </c>
      <c r="B40" s="9" t="s">
        <v>95</v>
      </c>
      <c r="C40" s="9">
        <v>1615163</v>
      </c>
      <c r="D40" s="43">
        <v>300000</v>
      </c>
      <c r="E40" s="17"/>
      <c r="F40" s="9" t="s">
        <v>18</v>
      </c>
    </row>
    <row r="41" spans="1:8" s="2" customFormat="1" ht="15.6" x14ac:dyDescent="0.3">
      <c r="A41" s="7">
        <v>38</v>
      </c>
      <c r="B41" s="9" t="s">
        <v>355</v>
      </c>
      <c r="C41" s="9">
        <v>2414974</v>
      </c>
      <c r="D41" s="43">
        <v>165000</v>
      </c>
      <c r="E41" s="17"/>
      <c r="F41" s="8" t="s">
        <v>356</v>
      </c>
      <c r="G41" s="66"/>
      <c r="H41" s="67"/>
    </row>
    <row r="42" spans="1:8" s="2" customFormat="1" ht="15.6" x14ac:dyDescent="0.3">
      <c r="A42" s="7">
        <v>39</v>
      </c>
      <c r="B42" s="25" t="s">
        <v>315</v>
      </c>
      <c r="C42" s="26">
        <v>7524564</v>
      </c>
      <c r="D42" s="56">
        <v>330000</v>
      </c>
      <c r="E42" s="57"/>
      <c r="F42" s="6" t="s">
        <v>313</v>
      </c>
      <c r="G42" s="66"/>
      <c r="H42" s="67"/>
    </row>
    <row r="43" spans="1:8" s="3" customFormat="1" ht="15.6" x14ac:dyDescent="0.3">
      <c r="A43" s="7">
        <v>40</v>
      </c>
      <c r="B43" s="25" t="s">
        <v>283</v>
      </c>
      <c r="C43" s="26">
        <v>389540</v>
      </c>
      <c r="D43" s="56">
        <v>440000</v>
      </c>
      <c r="E43" s="57"/>
      <c r="F43" s="6" t="s">
        <v>282</v>
      </c>
      <c r="G43" s="68"/>
      <c r="H43" s="69"/>
    </row>
    <row r="44" spans="1:8" s="3" customFormat="1" ht="15.6" x14ac:dyDescent="0.3">
      <c r="A44" s="84">
        <v>41</v>
      </c>
      <c r="B44" s="85" t="s">
        <v>303</v>
      </c>
      <c r="C44" s="85">
        <v>3726512</v>
      </c>
      <c r="D44" s="52"/>
      <c r="E44" s="53"/>
      <c r="F44" s="85" t="s">
        <v>304</v>
      </c>
      <c r="G44" s="68"/>
      <c r="H44" s="69"/>
    </row>
    <row r="45" spans="1:8" s="3" customFormat="1" ht="15.6" x14ac:dyDescent="0.3">
      <c r="A45" s="7">
        <v>42</v>
      </c>
      <c r="B45" s="11" t="s">
        <v>72</v>
      </c>
      <c r="C45" s="11">
        <v>5938902</v>
      </c>
      <c r="D45" s="42">
        <v>220000</v>
      </c>
      <c r="E45" s="16"/>
      <c r="F45" s="11" t="s">
        <v>4</v>
      </c>
      <c r="G45" s="68"/>
      <c r="H45" s="69"/>
    </row>
    <row r="46" spans="1:8" ht="15.6" x14ac:dyDescent="0.3">
      <c r="A46" s="7">
        <v>44</v>
      </c>
      <c r="B46" s="9" t="s">
        <v>361</v>
      </c>
      <c r="C46" s="9"/>
      <c r="D46" s="43"/>
      <c r="E46" s="17"/>
      <c r="F46" s="9" t="s">
        <v>362</v>
      </c>
    </row>
    <row r="47" spans="1:8" ht="15.6" x14ac:dyDescent="0.3">
      <c r="A47" s="7">
        <v>45</v>
      </c>
      <c r="B47" s="25" t="s">
        <v>322</v>
      </c>
      <c r="C47" s="26">
        <v>4241305</v>
      </c>
      <c r="D47" s="56">
        <v>165000</v>
      </c>
      <c r="E47" s="57"/>
      <c r="F47" s="6" t="s">
        <v>46</v>
      </c>
    </row>
    <row r="48" spans="1:8" ht="15" customHeight="1" x14ac:dyDescent="0.3">
      <c r="A48" s="7">
        <v>46</v>
      </c>
      <c r="B48" s="25" t="s">
        <v>383</v>
      </c>
      <c r="C48" s="26">
        <v>6749185</v>
      </c>
      <c r="D48" s="56">
        <v>250000</v>
      </c>
      <c r="E48" s="57"/>
      <c r="F48" s="6"/>
    </row>
    <row r="49" spans="1:7" ht="15.6" x14ac:dyDescent="0.3">
      <c r="A49" s="7">
        <v>47</v>
      </c>
      <c r="B49" s="8" t="s">
        <v>34</v>
      </c>
      <c r="C49" s="8">
        <v>80025151</v>
      </c>
      <c r="D49" s="42"/>
      <c r="E49" s="16">
        <v>440</v>
      </c>
      <c r="F49" s="8" t="s">
        <v>4</v>
      </c>
    </row>
    <row r="50" spans="1:7" ht="15.6" x14ac:dyDescent="0.3">
      <c r="A50" s="7">
        <v>48</v>
      </c>
      <c r="B50" s="9" t="s">
        <v>196</v>
      </c>
      <c r="C50" s="9">
        <v>5835318</v>
      </c>
      <c r="D50" s="43">
        <v>130000</v>
      </c>
      <c r="E50" s="17"/>
      <c r="F50" s="14" t="s">
        <v>197</v>
      </c>
    </row>
    <row r="51" spans="1:7" ht="15.6" x14ac:dyDescent="0.3">
      <c r="A51" s="7">
        <v>49</v>
      </c>
      <c r="B51" s="25" t="s">
        <v>367</v>
      </c>
      <c r="C51" s="26"/>
      <c r="D51" s="56">
        <v>110000</v>
      </c>
      <c r="E51" s="57"/>
      <c r="F51" s="6" t="s">
        <v>368</v>
      </c>
    </row>
    <row r="52" spans="1:7" ht="15.6" x14ac:dyDescent="0.3">
      <c r="A52" s="7">
        <v>50</v>
      </c>
      <c r="B52" s="25" t="s">
        <v>285</v>
      </c>
      <c r="C52" s="26">
        <v>7704200</v>
      </c>
      <c r="D52" s="56"/>
      <c r="E52" s="57"/>
      <c r="F52" s="6" t="s">
        <v>46</v>
      </c>
    </row>
    <row r="53" spans="1:7" ht="15.6" x14ac:dyDescent="0.3">
      <c r="A53" s="7">
        <v>51</v>
      </c>
      <c r="B53" s="8" t="s">
        <v>7</v>
      </c>
      <c r="C53" s="8">
        <v>80075700</v>
      </c>
      <c r="D53" s="42">
        <v>5000000</v>
      </c>
      <c r="E53" s="16"/>
      <c r="F53" s="8" t="s">
        <v>4</v>
      </c>
    </row>
    <row r="54" spans="1:7" ht="15.6" x14ac:dyDescent="0.3">
      <c r="A54" s="7">
        <v>52</v>
      </c>
      <c r="B54" s="25" t="s">
        <v>346</v>
      </c>
      <c r="C54" s="26">
        <v>3898269</v>
      </c>
      <c r="D54" s="56">
        <v>225000</v>
      </c>
      <c r="E54" s="57"/>
      <c r="F54" s="6" t="s">
        <v>46</v>
      </c>
    </row>
    <row r="55" spans="1:7" ht="15.6" x14ac:dyDescent="0.3">
      <c r="A55" s="7">
        <v>53</v>
      </c>
      <c r="B55" s="50" t="s">
        <v>3</v>
      </c>
      <c r="C55" s="51">
        <v>80058260</v>
      </c>
      <c r="D55" s="52"/>
      <c r="E55" s="53"/>
      <c r="F55" s="51" t="s">
        <v>4</v>
      </c>
    </row>
    <row r="56" spans="1:7" ht="15.6" x14ac:dyDescent="0.3">
      <c r="A56" s="7">
        <v>54</v>
      </c>
      <c r="B56" s="8" t="s">
        <v>198</v>
      </c>
      <c r="C56" s="8">
        <v>80028389</v>
      </c>
      <c r="D56" s="42"/>
      <c r="E56" s="16">
        <v>1700</v>
      </c>
      <c r="F56" s="8" t="s">
        <v>4</v>
      </c>
    </row>
    <row r="57" spans="1:7" ht="15.6" x14ac:dyDescent="0.3">
      <c r="A57" s="7">
        <v>55</v>
      </c>
      <c r="B57" s="25" t="s">
        <v>255</v>
      </c>
      <c r="C57" s="26">
        <v>6054681</v>
      </c>
      <c r="D57" s="56">
        <v>330000</v>
      </c>
      <c r="E57" s="57"/>
      <c r="F57" s="6" t="s">
        <v>246</v>
      </c>
    </row>
    <row r="58" spans="1:7" ht="15.6" x14ac:dyDescent="0.3">
      <c r="A58" s="7">
        <v>56</v>
      </c>
      <c r="B58" s="8" t="s">
        <v>92</v>
      </c>
      <c r="C58" s="9">
        <v>80106113</v>
      </c>
      <c r="D58" s="43">
        <v>3300000</v>
      </c>
      <c r="E58" s="17"/>
      <c r="F58" s="9" t="s">
        <v>4</v>
      </c>
    </row>
    <row r="59" spans="1:7" ht="15.6" x14ac:dyDescent="0.3">
      <c r="A59" s="7">
        <v>57</v>
      </c>
      <c r="B59" s="25" t="s">
        <v>267</v>
      </c>
      <c r="C59" s="26">
        <v>7585227</v>
      </c>
      <c r="D59" s="56">
        <v>165000</v>
      </c>
      <c r="E59" s="57"/>
      <c r="F59" s="6" t="s">
        <v>268</v>
      </c>
    </row>
    <row r="60" spans="1:7" ht="15.6" x14ac:dyDescent="0.3">
      <c r="A60" s="7">
        <v>58</v>
      </c>
      <c r="B60" s="9" t="s">
        <v>113</v>
      </c>
      <c r="C60" s="9">
        <v>6914784</v>
      </c>
      <c r="D60" s="43">
        <f>+G60/12</f>
        <v>180000</v>
      </c>
      <c r="E60" s="17"/>
      <c r="F60" s="8" t="s">
        <v>46</v>
      </c>
      <c r="G60" s="62">
        <v>2160000</v>
      </c>
    </row>
    <row r="61" spans="1:7" ht="15.6" x14ac:dyDescent="0.3">
      <c r="A61" s="7">
        <v>59</v>
      </c>
      <c r="B61" s="9" t="s">
        <v>206</v>
      </c>
      <c r="C61" s="9">
        <v>5015649</v>
      </c>
      <c r="D61" s="43">
        <v>165000</v>
      </c>
      <c r="E61" s="17"/>
      <c r="F61" s="9" t="s">
        <v>207</v>
      </c>
    </row>
    <row r="62" spans="1:7" ht="15.6" x14ac:dyDescent="0.3">
      <c r="A62" s="7">
        <v>60</v>
      </c>
      <c r="B62" s="9" t="s">
        <v>354</v>
      </c>
      <c r="C62" s="9"/>
      <c r="D62" s="43">
        <f>+G62/12</f>
        <v>64166.666666666664</v>
      </c>
      <c r="E62" s="17"/>
      <c r="F62" s="9" t="s">
        <v>351</v>
      </c>
      <c r="G62" s="62">
        <v>770000</v>
      </c>
    </row>
    <row r="63" spans="1:7" ht="15.6" x14ac:dyDescent="0.3">
      <c r="A63" s="7">
        <v>61</v>
      </c>
      <c r="B63" s="25" t="s">
        <v>250</v>
      </c>
      <c r="C63" s="26">
        <v>5718530</v>
      </c>
      <c r="D63" s="56">
        <v>220000</v>
      </c>
      <c r="E63" s="57"/>
      <c r="F63" s="6" t="s">
        <v>251</v>
      </c>
    </row>
    <row r="64" spans="1:7" ht="15.6" x14ac:dyDescent="0.3">
      <c r="A64" s="7">
        <v>62</v>
      </c>
      <c r="B64" s="9" t="s">
        <v>325</v>
      </c>
      <c r="C64" s="9">
        <v>4924366</v>
      </c>
      <c r="D64" s="43">
        <v>330000</v>
      </c>
      <c r="E64" s="17"/>
      <c r="F64" s="9" t="s">
        <v>319</v>
      </c>
    </row>
    <row r="65" spans="1:8" ht="15" customHeight="1" x14ac:dyDescent="0.3">
      <c r="A65" s="7">
        <v>63</v>
      </c>
      <c r="B65" s="11" t="s">
        <v>65</v>
      </c>
      <c r="C65" s="11">
        <v>5546432</v>
      </c>
      <c r="D65" s="42">
        <v>2500000</v>
      </c>
      <c r="E65" s="16"/>
      <c r="F65" s="11" t="s">
        <v>66</v>
      </c>
    </row>
    <row r="66" spans="1:8" s="2" customFormat="1" ht="15.6" x14ac:dyDescent="0.3">
      <c r="A66" s="84">
        <v>64</v>
      </c>
      <c r="B66" s="51" t="s">
        <v>127</v>
      </c>
      <c r="C66" s="51">
        <v>4233975</v>
      </c>
      <c r="D66" s="52"/>
      <c r="E66" s="53"/>
      <c r="F66" s="51" t="s">
        <v>4</v>
      </c>
      <c r="G66" s="66"/>
      <c r="H66" s="67"/>
    </row>
    <row r="67" spans="1:8" ht="15.6" x14ac:dyDescent="0.3">
      <c r="A67" s="7">
        <v>65</v>
      </c>
      <c r="B67" s="25" t="s">
        <v>262</v>
      </c>
      <c r="C67" s="26">
        <v>80081615</v>
      </c>
      <c r="D67" s="56"/>
      <c r="E67" s="57"/>
      <c r="F67" s="6" t="s">
        <v>249</v>
      </c>
    </row>
    <row r="68" spans="1:8" ht="15.6" x14ac:dyDescent="0.3">
      <c r="A68" s="7">
        <v>66</v>
      </c>
      <c r="B68" s="8" t="s">
        <v>182</v>
      </c>
      <c r="C68" s="8">
        <v>2360668</v>
      </c>
      <c r="D68" s="42">
        <v>275000</v>
      </c>
      <c r="E68" s="16"/>
      <c r="F68" s="8" t="s">
        <v>4</v>
      </c>
    </row>
    <row r="69" spans="1:8" ht="15.6" x14ac:dyDescent="0.3">
      <c r="A69" s="7">
        <v>67</v>
      </c>
      <c r="B69" s="11" t="s">
        <v>175</v>
      </c>
      <c r="C69" s="11">
        <v>80129517</v>
      </c>
      <c r="D69" s="42">
        <v>550000</v>
      </c>
      <c r="E69" s="16"/>
      <c r="F69" s="11" t="s">
        <v>4</v>
      </c>
    </row>
    <row r="70" spans="1:8" ht="15.6" x14ac:dyDescent="0.3">
      <c r="A70" s="7">
        <v>68</v>
      </c>
      <c r="B70" s="25" t="s">
        <v>328</v>
      </c>
      <c r="C70" s="26">
        <v>3761427</v>
      </c>
      <c r="D70" s="56"/>
      <c r="E70" s="57"/>
      <c r="F70" s="6" t="s">
        <v>282</v>
      </c>
    </row>
    <row r="71" spans="1:8" ht="15.6" x14ac:dyDescent="0.3">
      <c r="A71" s="7">
        <v>69</v>
      </c>
      <c r="B71" s="8" t="s">
        <v>166</v>
      </c>
      <c r="C71" s="8">
        <v>4074307</v>
      </c>
      <c r="D71" s="42">
        <v>220000</v>
      </c>
      <c r="E71" s="16"/>
      <c r="F71" s="8" t="s">
        <v>4</v>
      </c>
    </row>
    <row r="72" spans="1:8" ht="15.6" x14ac:dyDescent="0.3">
      <c r="A72" s="7">
        <v>70</v>
      </c>
      <c r="B72" s="25" t="s">
        <v>371</v>
      </c>
      <c r="C72" s="26">
        <v>6954850</v>
      </c>
      <c r="D72" s="56">
        <v>300000</v>
      </c>
      <c r="E72" s="57"/>
      <c r="F72" s="6" t="s">
        <v>372</v>
      </c>
    </row>
    <row r="73" spans="1:8" ht="15.6" x14ac:dyDescent="0.3">
      <c r="A73" s="7">
        <v>71</v>
      </c>
      <c r="B73" s="25" t="s">
        <v>340</v>
      </c>
      <c r="C73" s="26">
        <v>7117419</v>
      </c>
      <c r="D73" s="56">
        <v>230000</v>
      </c>
      <c r="E73" s="57"/>
      <c r="F73" s="6" t="s">
        <v>46</v>
      </c>
    </row>
    <row r="74" spans="1:8" ht="15.6" x14ac:dyDescent="0.3">
      <c r="A74" s="7">
        <v>72</v>
      </c>
      <c r="B74" s="9" t="s">
        <v>363</v>
      </c>
      <c r="C74" s="9"/>
      <c r="D74" s="43">
        <v>330000</v>
      </c>
      <c r="E74" s="17"/>
      <c r="F74" s="9" t="s">
        <v>364</v>
      </c>
    </row>
    <row r="75" spans="1:8" ht="15.6" x14ac:dyDescent="0.3">
      <c r="A75" s="7">
        <v>73</v>
      </c>
      <c r="B75" s="25" t="s">
        <v>256</v>
      </c>
      <c r="C75" s="26">
        <v>6214001</v>
      </c>
      <c r="D75" s="56">
        <v>165000</v>
      </c>
      <c r="E75" s="57"/>
      <c r="F75" s="6" t="s">
        <v>249</v>
      </c>
    </row>
    <row r="76" spans="1:8" ht="15.6" x14ac:dyDescent="0.3">
      <c r="A76" s="7">
        <v>74</v>
      </c>
      <c r="B76" s="8" t="s">
        <v>36</v>
      </c>
      <c r="C76" s="8">
        <v>80070701</v>
      </c>
      <c r="D76" s="42">
        <v>770000</v>
      </c>
      <c r="E76" s="16"/>
      <c r="F76" s="8" t="s">
        <v>4</v>
      </c>
    </row>
    <row r="77" spans="1:8" ht="15.6" x14ac:dyDescent="0.3">
      <c r="A77" s="7">
        <v>75</v>
      </c>
      <c r="B77" s="8" t="s">
        <v>244</v>
      </c>
      <c r="C77" s="8">
        <v>687215</v>
      </c>
      <c r="D77" s="42">
        <v>275000</v>
      </c>
      <c r="E77" s="16"/>
      <c r="F77" s="8" t="s">
        <v>54</v>
      </c>
    </row>
    <row r="78" spans="1:8" ht="15.6" x14ac:dyDescent="0.3">
      <c r="A78" s="7">
        <v>76</v>
      </c>
      <c r="B78" s="9" t="s">
        <v>211</v>
      </c>
      <c r="C78" s="9">
        <v>80136279</v>
      </c>
      <c r="D78" s="43"/>
      <c r="E78" s="17">
        <v>330</v>
      </c>
      <c r="F78" s="9" t="s">
        <v>4</v>
      </c>
    </row>
    <row r="79" spans="1:8" ht="15.6" x14ac:dyDescent="0.3">
      <c r="A79" s="7">
        <v>77</v>
      </c>
      <c r="B79" s="25" t="s">
        <v>269</v>
      </c>
      <c r="C79" s="26">
        <v>4719587</v>
      </c>
      <c r="D79" s="56">
        <v>330000</v>
      </c>
      <c r="E79" s="57"/>
      <c r="F79" s="6" t="s">
        <v>249</v>
      </c>
    </row>
    <row r="80" spans="1:8" ht="15.6" x14ac:dyDescent="0.3">
      <c r="A80" s="7">
        <v>78</v>
      </c>
      <c r="B80" s="8" t="s">
        <v>84</v>
      </c>
      <c r="C80" s="8">
        <v>5269093</v>
      </c>
      <c r="D80" s="42"/>
      <c r="E80" s="16"/>
      <c r="F80" s="8" t="s">
        <v>4</v>
      </c>
    </row>
    <row r="81" spans="1:8" ht="15.6" x14ac:dyDescent="0.3">
      <c r="A81" s="7">
        <v>79</v>
      </c>
      <c r="B81" s="25" t="s">
        <v>291</v>
      </c>
      <c r="C81" s="26">
        <v>4421061</v>
      </c>
      <c r="D81" s="56">
        <v>220000</v>
      </c>
      <c r="E81" s="57"/>
      <c r="F81" s="6" t="s">
        <v>282</v>
      </c>
    </row>
    <row r="82" spans="1:8" ht="15.6" x14ac:dyDescent="0.3">
      <c r="A82" s="7">
        <v>80</v>
      </c>
      <c r="B82" s="9" t="s">
        <v>90</v>
      </c>
      <c r="C82" s="9">
        <v>4280543</v>
      </c>
      <c r="D82" s="43"/>
      <c r="E82" s="17"/>
      <c r="F82" s="9" t="s">
        <v>88</v>
      </c>
    </row>
    <row r="83" spans="1:8" ht="15.6" x14ac:dyDescent="0.3">
      <c r="A83" s="7">
        <v>81</v>
      </c>
      <c r="B83" s="9" t="s">
        <v>324</v>
      </c>
      <c r="C83" s="9">
        <v>7758156</v>
      </c>
      <c r="D83" s="43">
        <v>220000</v>
      </c>
      <c r="E83" s="17"/>
      <c r="F83" s="9" t="s">
        <v>319</v>
      </c>
    </row>
    <row r="84" spans="1:8" ht="15.6" x14ac:dyDescent="0.3">
      <c r="A84" s="7">
        <v>82</v>
      </c>
      <c r="B84" s="8" t="s">
        <v>126</v>
      </c>
      <c r="C84" s="8">
        <v>866455</v>
      </c>
      <c r="D84" s="42"/>
      <c r="E84" s="16"/>
      <c r="F84" s="8" t="s">
        <v>4</v>
      </c>
    </row>
    <row r="85" spans="1:8" ht="15.6" x14ac:dyDescent="0.3">
      <c r="A85" s="7">
        <v>83</v>
      </c>
      <c r="B85" s="25" t="s">
        <v>264</v>
      </c>
      <c r="C85" s="26">
        <v>5951456</v>
      </c>
      <c r="D85" s="56">
        <v>220000</v>
      </c>
      <c r="E85" s="57"/>
      <c r="F85" s="6" t="s">
        <v>263</v>
      </c>
    </row>
    <row r="86" spans="1:8" ht="15.6" x14ac:dyDescent="0.3">
      <c r="A86" s="7">
        <v>84</v>
      </c>
      <c r="B86" s="9" t="s">
        <v>337</v>
      </c>
      <c r="C86" s="9">
        <v>7372718</v>
      </c>
      <c r="D86" s="43">
        <v>220000</v>
      </c>
      <c r="E86" s="17"/>
      <c r="F86" s="14" t="s">
        <v>282</v>
      </c>
    </row>
    <row r="87" spans="1:8" ht="15.6" x14ac:dyDescent="0.3">
      <c r="A87" s="7">
        <v>85</v>
      </c>
      <c r="B87" s="9" t="s">
        <v>327</v>
      </c>
      <c r="C87" s="9">
        <v>4193666</v>
      </c>
      <c r="D87" s="43">
        <v>110000</v>
      </c>
      <c r="E87" s="17"/>
      <c r="F87" s="9" t="s">
        <v>46</v>
      </c>
    </row>
    <row r="88" spans="1:8" ht="15.6" x14ac:dyDescent="0.3">
      <c r="A88" s="7">
        <v>86</v>
      </c>
      <c r="B88" s="25" t="s">
        <v>294</v>
      </c>
      <c r="C88" s="26">
        <v>4479811</v>
      </c>
      <c r="D88" s="56"/>
      <c r="E88" s="57"/>
      <c r="F88" s="6" t="s">
        <v>282</v>
      </c>
    </row>
    <row r="89" spans="1:8" ht="15.6" x14ac:dyDescent="0.3">
      <c r="A89" s="7">
        <v>87</v>
      </c>
      <c r="B89" s="8" t="s">
        <v>165</v>
      </c>
      <c r="C89" s="8">
        <v>80104647</v>
      </c>
      <c r="D89" s="42">
        <v>2200000</v>
      </c>
      <c r="E89" s="16"/>
      <c r="F89" s="8" t="s">
        <v>4</v>
      </c>
    </row>
    <row r="90" spans="1:8" ht="15.6" x14ac:dyDescent="0.3">
      <c r="A90" s="7">
        <v>88</v>
      </c>
      <c r="B90" s="8" t="s">
        <v>11</v>
      </c>
      <c r="C90" s="8">
        <v>80045470</v>
      </c>
      <c r="D90" s="42">
        <v>7700000</v>
      </c>
      <c r="E90" s="16"/>
      <c r="F90" s="8" t="s">
        <v>4</v>
      </c>
    </row>
    <row r="91" spans="1:8" ht="15.6" x14ac:dyDescent="0.3">
      <c r="A91" s="7">
        <v>89</v>
      </c>
      <c r="B91" s="25" t="s">
        <v>392</v>
      </c>
      <c r="C91" s="26">
        <v>80121034</v>
      </c>
      <c r="D91" s="56">
        <v>2000000</v>
      </c>
      <c r="E91" s="57"/>
      <c r="F91" s="8" t="s">
        <v>4</v>
      </c>
    </row>
    <row r="92" spans="1:8" ht="15.6" x14ac:dyDescent="0.3">
      <c r="A92" s="7">
        <v>90</v>
      </c>
      <c r="B92" s="11" t="s">
        <v>299</v>
      </c>
      <c r="C92" s="11">
        <v>5564512</v>
      </c>
      <c r="D92" s="42">
        <v>165000</v>
      </c>
      <c r="E92" s="16"/>
      <c r="F92" s="11" t="s">
        <v>46</v>
      </c>
    </row>
    <row r="93" spans="1:8" ht="15.6" x14ac:dyDescent="0.3">
      <c r="A93" s="7">
        <v>91</v>
      </c>
      <c r="B93" s="11" t="s">
        <v>176</v>
      </c>
      <c r="C93" s="11">
        <v>5475677</v>
      </c>
      <c r="D93" s="42">
        <v>330000</v>
      </c>
      <c r="E93" s="16"/>
      <c r="F93" s="11" t="s">
        <v>177</v>
      </c>
    </row>
    <row r="94" spans="1:8" s="3" customFormat="1" ht="15.6" x14ac:dyDescent="0.3">
      <c r="A94" s="7">
        <v>92</v>
      </c>
      <c r="B94" s="8" t="s">
        <v>101</v>
      </c>
      <c r="C94" s="10">
        <v>4539263</v>
      </c>
      <c r="D94" s="45"/>
      <c r="E94" s="18"/>
      <c r="F94" s="8" t="s">
        <v>9</v>
      </c>
      <c r="G94" s="68"/>
      <c r="H94" s="69"/>
    </row>
    <row r="95" spans="1:8" ht="15.6" x14ac:dyDescent="0.3">
      <c r="A95" s="7">
        <v>93</v>
      </c>
      <c r="B95" s="9" t="s">
        <v>27</v>
      </c>
      <c r="C95" s="9">
        <v>80112550</v>
      </c>
      <c r="D95" s="43">
        <v>480000</v>
      </c>
      <c r="E95" s="17"/>
      <c r="F95" s="9" t="s">
        <v>4</v>
      </c>
    </row>
    <row r="96" spans="1:8" s="3" customFormat="1" ht="15.6" x14ac:dyDescent="0.3">
      <c r="A96" s="7">
        <v>94</v>
      </c>
      <c r="B96" s="9" t="s">
        <v>169</v>
      </c>
      <c r="C96" s="9">
        <v>5762047</v>
      </c>
      <c r="D96" s="43"/>
      <c r="E96" s="17"/>
      <c r="F96" s="9" t="s">
        <v>46</v>
      </c>
      <c r="G96" s="68"/>
      <c r="H96" s="69"/>
    </row>
    <row r="97" spans="1:8" s="3" customFormat="1" ht="15.6" x14ac:dyDescent="0.3">
      <c r="A97" s="7">
        <v>95</v>
      </c>
      <c r="B97" s="9" t="s">
        <v>131</v>
      </c>
      <c r="C97" s="9">
        <v>4991905</v>
      </c>
      <c r="D97" s="43">
        <v>180000</v>
      </c>
      <c r="E97" s="17"/>
      <c r="F97" s="9" t="s">
        <v>46</v>
      </c>
      <c r="G97" s="68"/>
      <c r="H97" s="69"/>
    </row>
    <row r="98" spans="1:8" s="3" customFormat="1" ht="15.6" x14ac:dyDescent="0.3">
      <c r="A98" s="7">
        <v>96</v>
      </c>
      <c r="B98" s="9" t="s">
        <v>99</v>
      </c>
      <c r="C98" s="9">
        <v>80105713</v>
      </c>
      <c r="D98" s="43"/>
      <c r="E98" s="17">
        <v>350</v>
      </c>
      <c r="F98" s="9" t="s">
        <v>15</v>
      </c>
      <c r="G98" s="68"/>
      <c r="H98" s="69"/>
    </row>
    <row r="99" spans="1:8" s="3" customFormat="1" ht="15.6" x14ac:dyDescent="0.3">
      <c r="A99" s="7">
        <v>97</v>
      </c>
      <c r="B99" s="9" t="s">
        <v>21</v>
      </c>
      <c r="C99" s="9">
        <v>8013480</v>
      </c>
      <c r="D99" s="43">
        <f>+G99/12</f>
        <v>3436448.6666666665</v>
      </c>
      <c r="E99" s="17"/>
      <c r="F99" s="9" t="s">
        <v>18</v>
      </c>
      <c r="G99" s="68">
        <v>41237384</v>
      </c>
      <c r="H99" s="69"/>
    </row>
    <row r="100" spans="1:8" s="3" customFormat="1" ht="15.6" x14ac:dyDescent="0.3">
      <c r="A100" s="7">
        <v>98</v>
      </c>
      <c r="B100" s="25" t="s">
        <v>254</v>
      </c>
      <c r="C100" s="26">
        <v>3654320</v>
      </c>
      <c r="D100" s="56">
        <v>110000</v>
      </c>
      <c r="E100" s="57"/>
      <c r="F100" s="6" t="s">
        <v>248</v>
      </c>
      <c r="G100" s="68"/>
      <c r="H100" s="69"/>
    </row>
    <row r="101" spans="1:8" s="3" customFormat="1" ht="15.6" x14ac:dyDescent="0.3">
      <c r="A101" s="7">
        <v>99</v>
      </c>
      <c r="B101" s="8" t="s">
        <v>146</v>
      </c>
      <c r="C101" s="8">
        <v>6927606</v>
      </c>
      <c r="D101" s="42">
        <v>330000</v>
      </c>
      <c r="E101" s="16"/>
      <c r="F101" s="8" t="s">
        <v>46</v>
      </c>
      <c r="G101" s="68"/>
      <c r="H101" s="69"/>
    </row>
    <row r="102" spans="1:8" ht="15.6" x14ac:dyDescent="0.3">
      <c r="A102" s="7">
        <v>100</v>
      </c>
      <c r="B102" s="8" t="s">
        <v>162</v>
      </c>
      <c r="C102" s="8">
        <v>2292717</v>
      </c>
      <c r="D102" s="42">
        <v>350000</v>
      </c>
      <c r="E102" s="16"/>
      <c r="F102" s="8" t="s">
        <v>4</v>
      </c>
    </row>
    <row r="103" spans="1:8" ht="15.6" x14ac:dyDescent="0.3">
      <c r="A103" s="7">
        <v>101</v>
      </c>
      <c r="B103" s="9" t="s">
        <v>38</v>
      </c>
      <c r="C103" s="9">
        <v>1611511</v>
      </c>
      <c r="D103" s="43">
        <f>+G103/12</f>
        <v>600000</v>
      </c>
      <c r="E103" s="17"/>
      <c r="F103" s="9" t="s">
        <v>39</v>
      </c>
      <c r="G103" s="62">
        <v>7200000</v>
      </c>
    </row>
    <row r="104" spans="1:8" ht="15.6" x14ac:dyDescent="0.3">
      <c r="A104" s="7">
        <v>102</v>
      </c>
      <c r="B104" s="8" t="s">
        <v>107</v>
      </c>
      <c r="C104" s="8">
        <v>80087764</v>
      </c>
      <c r="D104" s="42"/>
      <c r="E104" s="16">
        <v>440</v>
      </c>
      <c r="F104" s="8" t="s">
        <v>4</v>
      </c>
    </row>
    <row r="105" spans="1:8" ht="15.6" x14ac:dyDescent="0.3">
      <c r="A105" s="7">
        <v>103</v>
      </c>
      <c r="B105" s="14" t="s">
        <v>118</v>
      </c>
      <c r="C105" s="14">
        <v>5492394</v>
      </c>
      <c r="D105" s="48"/>
      <c r="E105" s="20"/>
      <c r="F105" s="8" t="s">
        <v>119</v>
      </c>
    </row>
    <row r="106" spans="1:8" ht="15.6" x14ac:dyDescent="0.3">
      <c r="A106" s="7">
        <v>104</v>
      </c>
      <c r="B106" s="9" t="s">
        <v>94</v>
      </c>
      <c r="C106" s="9">
        <v>3880373</v>
      </c>
      <c r="D106" s="43">
        <v>330000</v>
      </c>
      <c r="E106" s="17"/>
      <c r="F106" s="9" t="s">
        <v>18</v>
      </c>
    </row>
    <row r="107" spans="1:8" ht="15.6" x14ac:dyDescent="0.3">
      <c r="A107" s="7">
        <v>105</v>
      </c>
      <c r="B107" s="8" t="s">
        <v>45</v>
      </c>
      <c r="C107" s="8">
        <v>3012161</v>
      </c>
      <c r="D107" s="42">
        <v>165000</v>
      </c>
      <c r="E107" s="16"/>
      <c r="F107" s="8" t="s">
        <v>46</v>
      </c>
    </row>
    <row r="108" spans="1:8" ht="15.6" x14ac:dyDescent="0.3">
      <c r="A108" s="7"/>
      <c r="B108" s="11" t="s">
        <v>395</v>
      </c>
      <c r="C108" s="11">
        <v>80109064</v>
      </c>
      <c r="D108" s="42"/>
      <c r="E108" s="16">
        <v>500</v>
      </c>
      <c r="F108" s="11" t="s">
        <v>396</v>
      </c>
    </row>
    <row r="109" spans="1:8" ht="15.6" x14ac:dyDescent="0.3">
      <c r="A109" s="7">
        <v>106</v>
      </c>
      <c r="B109" s="9" t="s">
        <v>98</v>
      </c>
      <c r="C109" s="9">
        <v>7161983</v>
      </c>
      <c r="D109" s="43">
        <v>275000</v>
      </c>
      <c r="E109" s="17"/>
      <c r="F109" s="9" t="s">
        <v>79</v>
      </c>
    </row>
    <row r="110" spans="1:8" ht="15.6" x14ac:dyDescent="0.3">
      <c r="A110" s="7">
        <v>107</v>
      </c>
      <c r="B110" s="11" t="s">
        <v>58</v>
      </c>
      <c r="C110" s="11">
        <v>1519402</v>
      </c>
      <c r="D110" s="42">
        <v>165000</v>
      </c>
      <c r="E110" s="16"/>
      <c r="F110" s="11" t="s">
        <v>59</v>
      </c>
    </row>
    <row r="111" spans="1:8" ht="15.6" x14ac:dyDescent="0.3">
      <c r="A111" s="7">
        <v>108</v>
      </c>
      <c r="B111" s="8" t="s">
        <v>105</v>
      </c>
      <c r="C111" s="8">
        <v>4927334</v>
      </c>
      <c r="D111" s="42">
        <v>2500000</v>
      </c>
      <c r="E111" s="16"/>
      <c r="F111" s="8" t="s">
        <v>4</v>
      </c>
    </row>
    <row r="112" spans="1:8" ht="15.6" x14ac:dyDescent="0.3">
      <c r="A112" s="7">
        <v>109</v>
      </c>
      <c r="B112" s="8" t="s">
        <v>78</v>
      </c>
      <c r="C112" s="8">
        <v>6054773</v>
      </c>
      <c r="D112" s="42">
        <v>165000</v>
      </c>
      <c r="E112" s="16"/>
      <c r="F112" s="8" t="s">
        <v>79</v>
      </c>
    </row>
    <row r="113" spans="1:10" ht="15.6" x14ac:dyDescent="0.3">
      <c r="A113" s="7">
        <v>110</v>
      </c>
      <c r="B113" s="8" t="s">
        <v>137</v>
      </c>
      <c r="C113" s="8">
        <v>4411445</v>
      </c>
      <c r="D113" s="42">
        <v>440000</v>
      </c>
      <c r="E113" s="16"/>
      <c r="F113" s="8" t="s">
        <v>116</v>
      </c>
    </row>
    <row r="114" spans="1:10" ht="15.6" x14ac:dyDescent="0.3">
      <c r="A114" s="7">
        <v>111</v>
      </c>
      <c r="B114" s="8" t="s">
        <v>30</v>
      </c>
      <c r="C114" s="8">
        <v>3949411</v>
      </c>
      <c r="D114" s="42">
        <v>275000</v>
      </c>
      <c r="E114" s="16"/>
      <c r="F114" s="8" t="s">
        <v>4</v>
      </c>
    </row>
    <row r="115" spans="1:10" ht="15.6" x14ac:dyDescent="0.3">
      <c r="A115" s="7"/>
      <c r="B115" s="25" t="s">
        <v>397</v>
      </c>
      <c r="C115" s="26">
        <v>4991875</v>
      </c>
      <c r="D115" s="56">
        <v>220000</v>
      </c>
      <c r="E115" s="57"/>
      <c r="F115" s="6"/>
      <c r="G115" s="68"/>
      <c r="H115" s="69"/>
      <c r="I115" s="3"/>
      <c r="J115" s="3"/>
    </row>
    <row r="116" spans="1:10" ht="15.6" x14ac:dyDescent="0.3">
      <c r="A116" s="7">
        <v>112</v>
      </c>
      <c r="B116" s="11" t="s">
        <v>302</v>
      </c>
      <c r="C116" s="11">
        <v>4275052</v>
      </c>
      <c r="D116" s="42">
        <v>220000</v>
      </c>
      <c r="E116" s="16"/>
      <c r="F116" s="11" t="s">
        <v>282</v>
      </c>
    </row>
    <row r="117" spans="1:10" ht="15.6" x14ac:dyDescent="0.3">
      <c r="A117" s="7">
        <v>113</v>
      </c>
      <c r="B117" s="9" t="s">
        <v>208</v>
      </c>
      <c r="C117" s="9">
        <v>5761599</v>
      </c>
      <c r="D117" s="43">
        <v>275000</v>
      </c>
      <c r="E117" s="17"/>
      <c r="F117" s="9" t="s">
        <v>4</v>
      </c>
    </row>
    <row r="118" spans="1:10" ht="15.6" x14ac:dyDescent="0.3">
      <c r="A118" s="7">
        <v>114</v>
      </c>
      <c r="B118" s="8" t="s">
        <v>10</v>
      </c>
      <c r="C118" s="8">
        <v>80057770</v>
      </c>
      <c r="D118" s="42">
        <v>3300000</v>
      </c>
      <c r="E118" s="16"/>
      <c r="F118" s="8" t="s">
        <v>4</v>
      </c>
    </row>
    <row r="119" spans="1:10" ht="15.6" x14ac:dyDescent="0.3">
      <c r="A119" s="7">
        <v>115</v>
      </c>
      <c r="B119" s="25" t="s">
        <v>261</v>
      </c>
      <c r="C119" s="26">
        <v>6882964</v>
      </c>
      <c r="D119" s="56">
        <v>220000</v>
      </c>
      <c r="E119" s="57"/>
      <c r="F119" s="6" t="s">
        <v>246</v>
      </c>
    </row>
    <row r="120" spans="1:10" s="3" customFormat="1" ht="15.6" x14ac:dyDescent="0.3">
      <c r="A120" s="7">
        <v>116</v>
      </c>
      <c r="B120" s="25" t="s">
        <v>290</v>
      </c>
      <c r="C120" s="26">
        <v>5761921</v>
      </c>
      <c r="D120" s="56">
        <v>220000</v>
      </c>
      <c r="E120" s="57"/>
      <c r="F120" s="6" t="s">
        <v>282</v>
      </c>
      <c r="G120" s="62"/>
      <c r="H120" s="63"/>
      <c r="I120" s="5"/>
      <c r="J120" s="5"/>
    </row>
    <row r="121" spans="1:10" s="3" customFormat="1" ht="15.6" x14ac:dyDescent="0.3">
      <c r="A121" s="7">
        <v>117</v>
      </c>
      <c r="B121" s="25" t="s">
        <v>316</v>
      </c>
      <c r="C121" s="26">
        <v>4059024</v>
      </c>
      <c r="D121" s="56">
        <v>275000</v>
      </c>
      <c r="E121" s="57"/>
      <c r="F121" s="6" t="s">
        <v>301</v>
      </c>
      <c r="G121" s="68"/>
      <c r="H121" s="69"/>
    </row>
    <row r="122" spans="1:10" s="3" customFormat="1" ht="15.6" x14ac:dyDescent="0.3">
      <c r="A122" s="7">
        <v>118</v>
      </c>
      <c r="B122" s="25" t="s">
        <v>382</v>
      </c>
      <c r="C122" s="26">
        <v>6341694</v>
      </c>
      <c r="D122" s="56">
        <v>165000</v>
      </c>
      <c r="E122" s="57"/>
      <c r="F122" s="6" t="s">
        <v>225</v>
      </c>
      <c r="G122" s="68"/>
      <c r="H122" s="69"/>
    </row>
    <row r="123" spans="1:10" ht="15.6" x14ac:dyDescent="0.3">
      <c r="A123" s="7">
        <v>119</v>
      </c>
      <c r="B123" s="25" t="s">
        <v>274</v>
      </c>
      <c r="C123" s="26">
        <v>3966519</v>
      </c>
      <c r="D123" s="56">
        <v>110000</v>
      </c>
      <c r="E123" s="57"/>
      <c r="F123" s="6" t="s">
        <v>225</v>
      </c>
    </row>
    <row r="124" spans="1:10" s="3" customFormat="1" ht="15.6" x14ac:dyDescent="0.3">
      <c r="A124" s="7">
        <v>120</v>
      </c>
      <c r="B124" s="8" t="s">
        <v>163</v>
      </c>
      <c r="C124" s="8">
        <v>5991507</v>
      </c>
      <c r="D124" s="42">
        <v>550000</v>
      </c>
      <c r="E124" s="16"/>
      <c r="F124" s="8" t="s">
        <v>4</v>
      </c>
      <c r="G124" s="68"/>
      <c r="H124" s="69"/>
    </row>
    <row r="125" spans="1:10" ht="15.6" x14ac:dyDescent="0.3">
      <c r="A125" s="7">
        <v>121</v>
      </c>
      <c r="B125" s="11" t="s">
        <v>74</v>
      </c>
      <c r="C125" s="11">
        <v>9121892</v>
      </c>
      <c r="D125" s="42">
        <v>275000</v>
      </c>
      <c r="E125" s="16"/>
      <c r="F125" s="11" t="s">
        <v>4</v>
      </c>
    </row>
    <row r="126" spans="1:10" ht="15.6" x14ac:dyDescent="0.3">
      <c r="A126" s="7">
        <v>122</v>
      </c>
      <c r="B126" s="25" t="s">
        <v>343</v>
      </c>
      <c r="C126" s="26">
        <v>2038059</v>
      </c>
      <c r="D126" s="56">
        <v>220000</v>
      </c>
      <c r="E126" s="57"/>
      <c r="F126" s="6" t="s">
        <v>342</v>
      </c>
    </row>
    <row r="127" spans="1:10" ht="15.6" x14ac:dyDescent="0.3">
      <c r="A127" s="7">
        <v>123</v>
      </c>
      <c r="B127" s="25" t="s">
        <v>287</v>
      </c>
      <c r="C127" s="26">
        <v>1471910</v>
      </c>
      <c r="D127" s="56"/>
      <c r="E127" s="57"/>
      <c r="F127" s="6" t="s">
        <v>46</v>
      </c>
    </row>
    <row r="128" spans="1:10" ht="15.6" x14ac:dyDescent="0.3">
      <c r="A128" s="7">
        <v>124</v>
      </c>
      <c r="B128" s="9" t="s">
        <v>366</v>
      </c>
      <c r="C128" s="9"/>
      <c r="D128" s="43"/>
      <c r="E128" s="17"/>
      <c r="F128" s="9" t="s">
        <v>349</v>
      </c>
    </row>
    <row r="129" spans="1:7" ht="15.6" x14ac:dyDescent="0.3">
      <c r="A129" s="7">
        <v>125</v>
      </c>
      <c r="B129" s="11" t="s">
        <v>56</v>
      </c>
      <c r="C129" s="11">
        <v>3870972</v>
      </c>
      <c r="D129" s="42"/>
      <c r="E129" s="16"/>
      <c r="F129" s="8" t="s">
        <v>57</v>
      </c>
    </row>
    <row r="130" spans="1:7" ht="15.6" x14ac:dyDescent="0.3">
      <c r="A130" s="7">
        <v>126</v>
      </c>
      <c r="B130" s="11" t="s">
        <v>180</v>
      </c>
      <c r="C130" s="11">
        <v>2442237</v>
      </c>
      <c r="D130" s="42"/>
      <c r="E130" s="16"/>
      <c r="F130" s="11" t="s">
        <v>46</v>
      </c>
    </row>
    <row r="131" spans="1:7" ht="15.6" x14ac:dyDescent="0.3">
      <c r="A131" s="7">
        <v>127</v>
      </c>
      <c r="B131" s="25" t="s">
        <v>281</v>
      </c>
      <c r="C131" s="26">
        <v>7607750</v>
      </c>
      <c r="D131" s="56">
        <v>165000</v>
      </c>
      <c r="E131" s="57"/>
      <c r="F131" s="6" t="s">
        <v>282</v>
      </c>
    </row>
    <row r="132" spans="1:7" ht="15.6" x14ac:dyDescent="0.3">
      <c r="A132" s="7">
        <v>128</v>
      </c>
      <c r="B132" s="25" t="s">
        <v>331</v>
      </c>
      <c r="C132" s="26">
        <v>8641257</v>
      </c>
      <c r="D132" s="56"/>
      <c r="E132" s="57"/>
      <c r="F132" s="6" t="s">
        <v>282</v>
      </c>
    </row>
    <row r="133" spans="1:7" ht="15.6" x14ac:dyDescent="0.3">
      <c r="A133" s="7"/>
      <c r="B133" s="25" t="s">
        <v>398</v>
      </c>
      <c r="C133" s="26">
        <v>4597786</v>
      </c>
      <c r="D133" s="56">
        <v>165000</v>
      </c>
      <c r="E133" s="57"/>
      <c r="F133" s="6"/>
    </row>
    <row r="134" spans="1:7" ht="15.6" x14ac:dyDescent="0.3">
      <c r="A134" s="7">
        <v>129</v>
      </c>
      <c r="B134" s="9" t="s">
        <v>195</v>
      </c>
      <c r="C134" s="9">
        <v>3974538</v>
      </c>
      <c r="D134" s="43">
        <f>+G134/12</f>
        <v>275000</v>
      </c>
      <c r="E134" s="17"/>
      <c r="F134" s="9" t="s">
        <v>46</v>
      </c>
      <c r="G134" s="62">
        <v>3300000</v>
      </c>
    </row>
    <row r="135" spans="1:7" ht="15.6" x14ac:dyDescent="0.3">
      <c r="A135" s="7">
        <v>130</v>
      </c>
      <c r="B135" s="25" t="s">
        <v>341</v>
      </c>
      <c r="C135" s="26">
        <v>7524569</v>
      </c>
      <c r="D135" s="56">
        <v>550000</v>
      </c>
      <c r="E135" s="57"/>
      <c r="F135" s="6" t="s">
        <v>342</v>
      </c>
    </row>
    <row r="136" spans="1:7" ht="15.6" x14ac:dyDescent="0.3">
      <c r="A136" s="7"/>
      <c r="B136" s="25" t="s">
        <v>399</v>
      </c>
      <c r="C136" s="26">
        <v>5610083</v>
      </c>
      <c r="D136" s="56">
        <v>165000</v>
      </c>
      <c r="E136" s="57"/>
      <c r="F136" s="6"/>
    </row>
    <row r="137" spans="1:7" ht="15.6" x14ac:dyDescent="0.3">
      <c r="A137" s="7">
        <v>131</v>
      </c>
      <c r="B137" s="11" t="s">
        <v>300</v>
      </c>
      <c r="C137" s="11">
        <v>6235892</v>
      </c>
      <c r="D137" s="42">
        <v>35000</v>
      </c>
      <c r="E137" s="16"/>
      <c r="F137" s="11" t="s">
        <v>301</v>
      </c>
    </row>
    <row r="138" spans="1:7" ht="15.6" x14ac:dyDescent="0.3">
      <c r="A138" s="7">
        <v>132</v>
      </c>
      <c r="B138" s="25" t="s">
        <v>266</v>
      </c>
      <c r="C138" s="26">
        <v>8302527</v>
      </c>
      <c r="D138" s="56">
        <v>550000</v>
      </c>
      <c r="E138" s="57"/>
      <c r="F138" s="6"/>
    </row>
    <row r="139" spans="1:7" ht="15.6" x14ac:dyDescent="0.3">
      <c r="A139" s="7">
        <v>133</v>
      </c>
      <c r="B139" s="11" t="s">
        <v>200</v>
      </c>
      <c r="C139" s="11">
        <v>80039039</v>
      </c>
      <c r="D139" s="42">
        <v>440000</v>
      </c>
      <c r="E139" s="16"/>
      <c r="F139" s="11" t="s">
        <v>4</v>
      </c>
    </row>
    <row r="140" spans="1:7" ht="15.6" x14ac:dyDescent="0.3">
      <c r="A140" s="7">
        <v>134</v>
      </c>
      <c r="B140" s="25" t="s">
        <v>387</v>
      </c>
      <c r="C140" s="26">
        <v>4692137</v>
      </c>
      <c r="D140" s="56">
        <v>165000</v>
      </c>
      <c r="E140" s="57"/>
      <c r="F140" s="6" t="s">
        <v>368</v>
      </c>
    </row>
    <row r="141" spans="1:7" ht="15.6" x14ac:dyDescent="0.3">
      <c r="A141" s="7">
        <v>135</v>
      </c>
      <c r="B141" s="9" t="s">
        <v>157</v>
      </c>
      <c r="C141" s="9">
        <v>3690516</v>
      </c>
      <c r="D141" s="43"/>
      <c r="E141" s="17"/>
      <c r="F141" s="9" t="s">
        <v>158</v>
      </c>
    </row>
    <row r="142" spans="1:7" ht="15.6" x14ac:dyDescent="0.3">
      <c r="A142" s="7">
        <v>136</v>
      </c>
      <c r="B142" s="8" t="s">
        <v>308</v>
      </c>
      <c r="C142" s="8">
        <v>8255383</v>
      </c>
      <c r="D142" s="42">
        <v>165000</v>
      </c>
      <c r="E142" s="16"/>
      <c r="F142" s="8" t="s">
        <v>46</v>
      </c>
    </row>
    <row r="143" spans="1:7" ht="15.6" x14ac:dyDescent="0.3">
      <c r="A143" s="7">
        <v>137</v>
      </c>
      <c r="B143" s="11" t="s">
        <v>298</v>
      </c>
      <c r="C143" s="11">
        <v>5347912</v>
      </c>
      <c r="D143" s="42"/>
      <c r="E143" s="16"/>
      <c r="F143" s="11" t="s">
        <v>46</v>
      </c>
    </row>
    <row r="144" spans="1:7" ht="15.6" x14ac:dyDescent="0.3">
      <c r="A144" s="7">
        <v>138</v>
      </c>
      <c r="B144" s="8" t="s">
        <v>49</v>
      </c>
      <c r="C144" s="10">
        <v>80146161</v>
      </c>
      <c r="D144" s="45">
        <f>+G144/12</f>
        <v>350000</v>
      </c>
      <c r="E144" s="18"/>
      <c r="F144" s="8" t="s">
        <v>4</v>
      </c>
      <c r="G144" s="62">
        <v>4200000</v>
      </c>
    </row>
    <row r="145" spans="1:8" ht="15.6" x14ac:dyDescent="0.3">
      <c r="A145" s="7">
        <v>139</v>
      </c>
      <c r="B145" s="9" t="s">
        <v>336</v>
      </c>
      <c r="C145" s="9">
        <v>3236438</v>
      </c>
      <c r="D145" s="43"/>
      <c r="E145" s="17"/>
      <c r="F145" s="14" t="s">
        <v>334</v>
      </c>
    </row>
    <row r="146" spans="1:8" s="3" customFormat="1" ht="15.6" x14ac:dyDescent="0.3">
      <c r="A146" s="7">
        <v>140</v>
      </c>
      <c r="B146" s="25" t="s">
        <v>389</v>
      </c>
      <c r="C146" s="26">
        <v>5322957</v>
      </c>
      <c r="D146" s="56">
        <v>165000</v>
      </c>
      <c r="E146" s="57"/>
      <c r="F146" s="6" t="s">
        <v>368</v>
      </c>
      <c r="G146" s="68"/>
      <c r="H146" s="69"/>
    </row>
    <row r="147" spans="1:8" ht="15.6" x14ac:dyDescent="0.3">
      <c r="A147" s="7">
        <v>141</v>
      </c>
      <c r="B147" s="9" t="s">
        <v>170</v>
      </c>
      <c r="C147" s="9">
        <v>3594517</v>
      </c>
      <c r="D147" s="43"/>
      <c r="E147" s="17"/>
      <c r="F147" s="9" t="s">
        <v>171</v>
      </c>
    </row>
    <row r="148" spans="1:8" ht="15.6" x14ac:dyDescent="0.3">
      <c r="A148" s="7">
        <v>142</v>
      </c>
      <c r="B148" s="25" t="s">
        <v>273</v>
      </c>
      <c r="C148" s="26">
        <v>4064701</v>
      </c>
      <c r="D148" s="56">
        <v>165000</v>
      </c>
      <c r="E148" s="57"/>
      <c r="F148" s="6" t="s">
        <v>225</v>
      </c>
    </row>
    <row r="149" spans="1:8" ht="15.6" x14ac:dyDescent="0.3">
      <c r="A149" s="7">
        <v>143</v>
      </c>
      <c r="B149" s="9" t="s">
        <v>132</v>
      </c>
      <c r="C149" s="9">
        <v>4245075</v>
      </c>
      <c r="D149" s="43"/>
      <c r="E149" s="17">
        <v>375</v>
      </c>
      <c r="F149" s="9" t="s">
        <v>18</v>
      </c>
    </row>
    <row r="150" spans="1:8" ht="15.6" x14ac:dyDescent="0.3">
      <c r="A150" s="7">
        <v>144</v>
      </c>
      <c r="B150" s="11" t="s">
        <v>199</v>
      </c>
      <c r="C150" s="11">
        <v>3966129</v>
      </c>
      <c r="D150" s="42"/>
      <c r="E150" s="16"/>
      <c r="F150" s="8" t="s">
        <v>4</v>
      </c>
    </row>
    <row r="151" spans="1:8" ht="15.6" x14ac:dyDescent="0.3">
      <c r="A151" s="7">
        <v>145</v>
      </c>
      <c r="B151" s="9" t="s">
        <v>42</v>
      </c>
      <c r="C151" s="9">
        <v>3445051</v>
      </c>
      <c r="D151" s="43">
        <f>+G151/12</f>
        <v>440000</v>
      </c>
      <c r="E151" s="17"/>
      <c r="F151" s="9" t="s">
        <v>18</v>
      </c>
      <c r="G151" s="62">
        <v>5280000</v>
      </c>
    </row>
    <row r="152" spans="1:8" ht="15.6" x14ac:dyDescent="0.3">
      <c r="A152" s="7">
        <v>146</v>
      </c>
      <c r="B152" s="9" t="s">
        <v>22</v>
      </c>
      <c r="C152" s="9">
        <v>4106130</v>
      </c>
      <c r="D152" s="43"/>
      <c r="E152" s="17"/>
      <c r="F152" s="9" t="s">
        <v>9</v>
      </c>
    </row>
    <row r="153" spans="1:8" ht="15.6" x14ac:dyDescent="0.3">
      <c r="A153" s="7">
        <v>147</v>
      </c>
      <c r="B153" s="9" t="s">
        <v>338</v>
      </c>
      <c r="C153" s="9">
        <v>1813668</v>
      </c>
      <c r="D153" s="43"/>
      <c r="E153" s="17"/>
      <c r="F153" s="14" t="s">
        <v>46</v>
      </c>
    </row>
    <row r="154" spans="1:8" ht="15.6" x14ac:dyDescent="0.3">
      <c r="A154" s="7">
        <v>148</v>
      </c>
      <c r="B154" s="8" t="s">
        <v>85</v>
      </c>
      <c r="C154" s="8">
        <v>3958023</v>
      </c>
      <c r="D154" s="42">
        <v>220000</v>
      </c>
      <c r="E154" s="16"/>
      <c r="F154" s="8" t="s">
        <v>86</v>
      </c>
    </row>
    <row r="155" spans="1:8" ht="15.6" x14ac:dyDescent="0.3">
      <c r="A155" s="7">
        <v>149</v>
      </c>
      <c r="B155" s="11" t="s">
        <v>179</v>
      </c>
      <c r="C155" s="11">
        <v>6962267</v>
      </c>
      <c r="D155" s="42"/>
      <c r="E155" s="16"/>
      <c r="F155" s="11" t="s">
        <v>46</v>
      </c>
    </row>
    <row r="156" spans="1:8" ht="15.6" x14ac:dyDescent="0.3">
      <c r="A156" s="7">
        <v>150</v>
      </c>
      <c r="B156" s="8" t="s">
        <v>135</v>
      </c>
      <c r="C156" s="8">
        <v>4159955</v>
      </c>
      <c r="D156" s="42">
        <v>375000</v>
      </c>
      <c r="E156" s="16"/>
      <c r="F156" s="8" t="s">
        <v>136</v>
      </c>
    </row>
    <row r="157" spans="1:8" ht="15.6" x14ac:dyDescent="0.3">
      <c r="A157" s="7">
        <v>151</v>
      </c>
      <c r="B157" s="8" t="s">
        <v>139</v>
      </c>
      <c r="C157" s="8">
        <v>1334616</v>
      </c>
      <c r="D157" s="42">
        <v>300000</v>
      </c>
      <c r="E157" s="16"/>
      <c r="F157" s="8" t="s">
        <v>140</v>
      </c>
    </row>
    <row r="158" spans="1:8" ht="15.6" x14ac:dyDescent="0.3">
      <c r="A158" s="7">
        <v>152</v>
      </c>
      <c r="B158" s="9" t="s">
        <v>97</v>
      </c>
      <c r="C158" s="9">
        <v>4075703</v>
      </c>
      <c r="D158" s="43"/>
      <c r="E158" s="17"/>
      <c r="F158" s="9" t="s">
        <v>9</v>
      </c>
    </row>
    <row r="159" spans="1:8" ht="15.6" x14ac:dyDescent="0.3">
      <c r="A159" s="7"/>
      <c r="B159" s="9" t="s">
        <v>400</v>
      </c>
      <c r="C159" s="9">
        <v>6943342</v>
      </c>
      <c r="D159" s="43">
        <v>160000</v>
      </c>
      <c r="E159" s="17"/>
      <c r="F159" s="9"/>
    </row>
    <row r="160" spans="1:8" ht="15.6" x14ac:dyDescent="0.3">
      <c r="A160" s="7">
        <v>153</v>
      </c>
      <c r="B160" s="11" t="s">
        <v>77</v>
      </c>
      <c r="C160" s="11">
        <v>80162962</v>
      </c>
      <c r="D160" s="42">
        <v>330000</v>
      </c>
      <c r="E160" s="16"/>
      <c r="F160" s="11" t="s">
        <v>4</v>
      </c>
    </row>
    <row r="161" spans="1:8" ht="15.6" x14ac:dyDescent="0.3">
      <c r="A161" s="7">
        <v>154</v>
      </c>
      <c r="B161" s="11" t="s">
        <v>71</v>
      </c>
      <c r="C161" s="11">
        <v>8718862</v>
      </c>
      <c r="D161" s="42"/>
      <c r="E161" s="16"/>
      <c r="F161" s="11" t="s">
        <v>4</v>
      </c>
    </row>
    <row r="162" spans="1:8" ht="15.6" x14ac:dyDescent="0.3">
      <c r="A162" s="7">
        <v>155</v>
      </c>
      <c r="B162" s="9" t="s">
        <v>109</v>
      </c>
      <c r="C162" s="9">
        <v>2503554</v>
      </c>
      <c r="D162" s="43"/>
      <c r="E162" s="17"/>
      <c r="F162" s="8" t="s">
        <v>46</v>
      </c>
    </row>
    <row r="163" spans="1:8" ht="15.6" x14ac:dyDescent="0.3">
      <c r="A163" s="7"/>
      <c r="B163" s="11" t="s">
        <v>401</v>
      </c>
      <c r="C163" s="11">
        <v>5899321</v>
      </c>
      <c r="D163" s="42">
        <v>110000</v>
      </c>
      <c r="E163" s="16"/>
      <c r="F163" s="11"/>
    </row>
    <row r="164" spans="1:8" ht="15.6" x14ac:dyDescent="0.3">
      <c r="A164" s="7">
        <v>156</v>
      </c>
      <c r="B164" s="25" t="s">
        <v>376</v>
      </c>
      <c r="C164" s="26">
        <v>6235891</v>
      </c>
      <c r="D164" s="56">
        <v>165000</v>
      </c>
      <c r="E164" s="57"/>
      <c r="F164" s="6"/>
    </row>
    <row r="165" spans="1:8" ht="15.6" x14ac:dyDescent="0.3">
      <c r="A165" s="7">
        <v>157</v>
      </c>
      <c r="B165" s="9" t="s">
        <v>339</v>
      </c>
      <c r="C165" s="9">
        <v>4175768</v>
      </c>
      <c r="D165" s="43">
        <v>200000</v>
      </c>
      <c r="E165" s="17"/>
      <c r="F165" s="14" t="s">
        <v>282</v>
      </c>
    </row>
    <row r="166" spans="1:8" ht="15.6" x14ac:dyDescent="0.3">
      <c r="A166" s="7">
        <v>158</v>
      </c>
      <c r="B166" s="25" t="s">
        <v>284</v>
      </c>
      <c r="C166" s="26">
        <v>7013940</v>
      </c>
      <c r="D166" s="56">
        <v>165000</v>
      </c>
      <c r="E166" s="57"/>
      <c r="F166" s="6" t="s">
        <v>46</v>
      </c>
    </row>
    <row r="167" spans="1:8" ht="15.6" x14ac:dyDescent="0.3">
      <c r="A167" s="7">
        <v>159</v>
      </c>
      <c r="B167" s="25" t="s">
        <v>292</v>
      </c>
      <c r="C167" s="26">
        <v>8260271</v>
      </c>
      <c r="D167" s="56"/>
      <c r="E167" s="57"/>
      <c r="F167" s="6" t="s">
        <v>289</v>
      </c>
    </row>
    <row r="168" spans="1:8" ht="15.6" x14ac:dyDescent="0.3">
      <c r="A168" s="7">
        <v>160</v>
      </c>
      <c r="B168" s="25" t="s">
        <v>271</v>
      </c>
      <c r="C168" s="26">
        <v>4302858</v>
      </c>
      <c r="D168" s="56"/>
      <c r="E168" s="57"/>
      <c r="F168" s="6"/>
    </row>
    <row r="169" spans="1:8" ht="15.6" x14ac:dyDescent="0.3">
      <c r="A169" s="7">
        <v>161</v>
      </c>
      <c r="B169" s="11" t="s">
        <v>73</v>
      </c>
      <c r="C169" s="11">
        <v>7192422</v>
      </c>
      <c r="D169" s="42"/>
      <c r="E169" s="16"/>
      <c r="F169" s="11" t="s">
        <v>4</v>
      </c>
    </row>
    <row r="170" spans="1:8" ht="15.6" x14ac:dyDescent="0.3">
      <c r="A170" s="7"/>
      <c r="B170" s="25" t="s">
        <v>402</v>
      </c>
      <c r="C170" s="26">
        <v>3471100</v>
      </c>
      <c r="D170" s="56">
        <v>180000</v>
      </c>
      <c r="E170" s="57"/>
      <c r="F170" s="6"/>
    </row>
    <row r="171" spans="1:8" ht="15.6" x14ac:dyDescent="0.3">
      <c r="A171" s="7">
        <v>162</v>
      </c>
      <c r="B171" s="8" t="s">
        <v>379</v>
      </c>
      <c r="C171" s="8">
        <v>4391093</v>
      </c>
      <c r="D171" s="56"/>
      <c r="E171" s="57"/>
      <c r="F171" s="8" t="s">
        <v>225</v>
      </c>
    </row>
    <row r="172" spans="1:8" s="2" customFormat="1" ht="15.6" x14ac:dyDescent="0.3">
      <c r="A172" s="7">
        <v>163</v>
      </c>
      <c r="B172" s="25" t="s">
        <v>381</v>
      </c>
      <c r="C172" s="26">
        <v>9151554</v>
      </c>
      <c r="D172" s="56"/>
      <c r="E172" s="57"/>
      <c r="F172" s="6"/>
      <c r="G172" s="66"/>
      <c r="H172" s="67"/>
    </row>
    <row r="173" spans="1:8" s="3" customFormat="1" ht="15.6" x14ac:dyDescent="0.3">
      <c r="A173" s="7">
        <v>164</v>
      </c>
      <c r="B173" s="8" t="s">
        <v>309</v>
      </c>
      <c r="C173" s="8">
        <v>8544853</v>
      </c>
      <c r="D173" s="42">
        <v>200000</v>
      </c>
      <c r="E173" s="16"/>
      <c r="F173" s="8" t="s">
        <v>307</v>
      </c>
      <c r="G173" s="68"/>
      <c r="H173" s="69"/>
    </row>
    <row r="174" spans="1:8" s="3" customFormat="1" ht="15.6" x14ac:dyDescent="0.3">
      <c r="A174" s="7">
        <v>165</v>
      </c>
      <c r="B174" s="8" t="s">
        <v>31</v>
      </c>
      <c r="C174" s="8">
        <v>5119371</v>
      </c>
      <c r="D174" s="42">
        <v>550000</v>
      </c>
      <c r="E174" s="16"/>
      <c r="F174" s="8" t="s">
        <v>4</v>
      </c>
      <c r="G174" s="68"/>
      <c r="H174" s="69"/>
    </row>
    <row r="175" spans="1:8" s="3" customFormat="1" ht="15.6" x14ac:dyDescent="0.3">
      <c r="A175" s="7">
        <v>166</v>
      </c>
      <c r="B175" s="25" t="s">
        <v>352</v>
      </c>
      <c r="C175" s="26"/>
      <c r="D175" s="56"/>
      <c r="E175" s="57"/>
      <c r="F175" s="6" t="s">
        <v>268</v>
      </c>
      <c r="G175" s="68"/>
      <c r="H175" s="69"/>
    </row>
    <row r="176" spans="1:8" s="3" customFormat="1" ht="15.6" x14ac:dyDescent="0.3">
      <c r="A176" s="7">
        <v>167</v>
      </c>
      <c r="B176" s="8" t="s">
        <v>80</v>
      </c>
      <c r="C176" s="8">
        <v>6192413</v>
      </c>
      <c r="D176" s="42">
        <v>275000</v>
      </c>
      <c r="E176" s="16"/>
      <c r="F176" s="8" t="s">
        <v>81</v>
      </c>
      <c r="G176" s="68"/>
      <c r="H176" s="69"/>
    </row>
    <row r="177" spans="1:7" ht="15.6" x14ac:dyDescent="0.3">
      <c r="A177" s="7">
        <v>168</v>
      </c>
      <c r="B177" s="9" t="s">
        <v>335</v>
      </c>
      <c r="C177" s="9">
        <v>7987898</v>
      </c>
      <c r="D177" s="43">
        <v>200000</v>
      </c>
      <c r="E177" s="17"/>
      <c r="F177" s="14" t="s">
        <v>334</v>
      </c>
    </row>
    <row r="178" spans="1:7" ht="15.6" x14ac:dyDescent="0.3">
      <c r="A178" s="7">
        <v>169</v>
      </c>
      <c r="B178" s="9" t="s">
        <v>192</v>
      </c>
      <c r="C178" s="9">
        <v>3540168</v>
      </c>
      <c r="D178" s="43">
        <f>+G178/12</f>
        <v>450000</v>
      </c>
      <c r="E178" s="17"/>
      <c r="F178" s="9" t="s">
        <v>18</v>
      </c>
      <c r="G178" s="62">
        <v>5400000</v>
      </c>
    </row>
    <row r="179" spans="1:7" ht="15.6" x14ac:dyDescent="0.3">
      <c r="A179" s="7">
        <v>170</v>
      </c>
      <c r="B179" s="25" t="s">
        <v>288</v>
      </c>
      <c r="C179" s="26">
        <v>4285641</v>
      </c>
      <c r="D179" s="56">
        <v>275000</v>
      </c>
      <c r="E179" s="57"/>
      <c r="F179" s="6" t="s">
        <v>289</v>
      </c>
    </row>
    <row r="180" spans="1:7" ht="15.6" x14ac:dyDescent="0.3">
      <c r="A180" s="7">
        <v>171</v>
      </c>
      <c r="B180" s="8" t="s">
        <v>33</v>
      </c>
      <c r="C180" s="8">
        <v>80053251</v>
      </c>
      <c r="D180" s="42"/>
      <c r="E180" s="16"/>
      <c r="F180" s="8" t="s">
        <v>4</v>
      </c>
    </row>
    <row r="181" spans="1:7" ht="15.6" x14ac:dyDescent="0.3">
      <c r="A181" s="7">
        <v>172</v>
      </c>
      <c r="B181" s="8" t="s">
        <v>312</v>
      </c>
      <c r="C181" s="8">
        <v>7080523</v>
      </c>
      <c r="D181" s="42">
        <v>165000</v>
      </c>
      <c r="E181" s="16"/>
      <c r="F181" s="8" t="s">
        <v>313</v>
      </c>
    </row>
    <row r="182" spans="1:7" ht="15.6" x14ac:dyDescent="0.3">
      <c r="A182" s="7">
        <v>173</v>
      </c>
      <c r="B182" s="8" t="s">
        <v>150</v>
      </c>
      <c r="C182" s="8">
        <v>80109326</v>
      </c>
      <c r="D182" s="42">
        <v>330000</v>
      </c>
      <c r="E182" s="16"/>
      <c r="F182" s="8" t="s">
        <v>4</v>
      </c>
    </row>
    <row r="183" spans="1:7" ht="15.6" x14ac:dyDescent="0.3">
      <c r="A183" s="7">
        <v>174</v>
      </c>
      <c r="B183" s="49" t="s">
        <v>365</v>
      </c>
      <c r="C183" s="49"/>
      <c r="D183" s="54">
        <v>165000</v>
      </c>
      <c r="E183" s="55"/>
      <c r="F183" s="49" t="s">
        <v>347</v>
      </c>
    </row>
    <row r="184" spans="1:7" ht="15.6" x14ac:dyDescent="0.3">
      <c r="A184" s="7">
        <v>175</v>
      </c>
      <c r="B184" s="8" t="s">
        <v>8</v>
      </c>
      <c r="C184" s="8">
        <v>5106350</v>
      </c>
      <c r="D184" s="42"/>
      <c r="E184" s="16"/>
      <c r="F184" s="8" t="s">
        <v>9</v>
      </c>
    </row>
    <row r="185" spans="1:7" ht="15.6" x14ac:dyDescent="0.3">
      <c r="A185" s="7">
        <v>176</v>
      </c>
      <c r="B185" s="25" t="s">
        <v>320</v>
      </c>
      <c r="C185" s="26">
        <v>2156105</v>
      </c>
      <c r="D185" s="56">
        <v>220000</v>
      </c>
      <c r="E185" s="57"/>
      <c r="F185" s="6" t="s">
        <v>321</v>
      </c>
    </row>
    <row r="186" spans="1:7" ht="15.6" x14ac:dyDescent="0.3">
      <c r="A186" s="7">
        <v>177</v>
      </c>
      <c r="B186" s="25" t="s">
        <v>350</v>
      </c>
      <c r="C186" s="26"/>
      <c r="D186" s="56"/>
      <c r="E186" s="57"/>
      <c r="F186" s="6" t="s">
        <v>351</v>
      </c>
    </row>
    <row r="187" spans="1:7" ht="15.6" x14ac:dyDescent="0.3">
      <c r="A187" s="7">
        <v>178</v>
      </c>
      <c r="B187" s="9" t="s">
        <v>129</v>
      </c>
      <c r="C187" s="9">
        <v>2458525</v>
      </c>
      <c r="D187" s="43"/>
      <c r="E187" s="17"/>
      <c r="F187" s="9" t="s">
        <v>46</v>
      </c>
    </row>
    <row r="188" spans="1:7" ht="15.6" x14ac:dyDescent="0.3">
      <c r="A188" s="7">
        <v>179</v>
      </c>
      <c r="B188" s="25" t="s">
        <v>270</v>
      </c>
      <c r="C188" s="26">
        <v>80054918</v>
      </c>
      <c r="D188" s="56"/>
      <c r="E188" s="57"/>
      <c r="F188" s="6"/>
    </row>
    <row r="189" spans="1:7" ht="15.6" x14ac:dyDescent="0.3">
      <c r="A189" s="7">
        <v>180</v>
      </c>
      <c r="B189" s="25" t="s">
        <v>344</v>
      </c>
      <c r="C189" s="26">
        <v>4352009</v>
      </c>
      <c r="D189" s="56"/>
      <c r="E189" s="57"/>
      <c r="F189" s="6" t="s">
        <v>342</v>
      </c>
    </row>
    <row r="190" spans="1:7" ht="15.6" x14ac:dyDescent="0.3">
      <c r="A190" s="7">
        <v>181</v>
      </c>
      <c r="B190" s="8" t="s">
        <v>134</v>
      </c>
      <c r="C190" s="8">
        <v>3205005</v>
      </c>
      <c r="D190" s="42">
        <v>550000</v>
      </c>
      <c r="E190" s="16"/>
      <c r="F190" s="8" t="s">
        <v>44</v>
      </c>
    </row>
    <row r="191" spans="1:7" ht="15.6" x14ac:dyDescent="0.3">
      <c r="A191" s="7">
        <v>182</v>
      </c>
      <c r="B191" s="9" t="s">
        <v>130</v>
      </c>
      <c r="C191" s="9">
        <v>6144215</v>
      </c>
      <c r="D191" s="43"/>
      <c r="E191" s="17"/>
      <c r="F191" s="9" t="s">
        <v>46</v>
      </c>
    </row>
    <row r="192" spans="1:7" ht="15.6" x14ac:dyDescent="0.3">
      <c r="A192" s="7">
        <v>183</v>
      </c>
      <c r="B192" s="8" t="s">
        <v>380</v>
      </c>
      <c r="C192" s="8">
        <v>9290043</v>
      </c>
      <c r="D192" s="42">
        <v>200000</v>
      </c>
      <c r="E192" s="16"/>
      <c r="F192" s="8" t="s">
        <v>4</v>
      </c>
    </row>
    <row r="193" spans="1:6" ht="15.6" x14ac:dyDescent="0.3">
      <c r="A193" s="7">
        <v>184</v>
      </c>
      <c r="B193" s="25" t="s">
        <v>330</v>
      </c>
      <c r="C193" s="26">
        <v>3682387</v>
      </c>
      <c r="D193" s="56">
        <v>250000</v>
      </c>
      <c r="E193" s="57"/>
      <c r="F193" s="6" t="s">
        <v>296</v>
      </c>
    </row>
    <row r="194" spans="1:6" ht="15.6" x14ac:dyDescent="0.3">
      <c r="A194" s="7">
        <v>185</v>
      </c>
      <c r="B194" s="12" t="s">
        <v>69</v>
      </c>
      <c r="C194" s="13">
        <v>4816072</v>
      </c>
      <c r="D194" s="47"/>
      <c r="E194" s="19"/>
      <c r="F194" s="12" t="s">
        <v>59</v>
      </c>
    </row>
    <row r="195" spans="1:6" ht="15.6" x14ac:dyDescent="0.3">
      <c r="A195" s="7">
        <v>186</v>
      </c>
      <c r="B195" s="11" t="s">
        <v>53</v>
      </c>
      <c r="C195" s="11">
        <v>4330672</v>
      </c>
      <c r="D195" s="42">
        <v>275000</v>
      </c>
      <c r="E195" s="16"/>
      <c r="F195" s="11" t="s">
        <v>54</v>
      </c>
    </row>
    <row r="196" spans="1:6" ht="15.6" x14ac:dyDescent="0.3">
      <c r="A196" s="80">
        <v>187</v>
      </c>
      <c r="B196" s="81" t="s">
        <v>114</v>
      </c>
      <c r="C196" s="81">
        <v>7153394</v>
      </c>
      <c r="D196" s="82">
        <v>275000</v>
      </c>
      <c r="E196" s="83"/>
      <c r="F196" s="81" t="s">
        <v>46</v>
      </c>
    </row>
    <row r="197" spans="1:6" ht="15.6" x14ac:dyDescent="0.3">
      <c r="A197" s="7">
        <v>188</v>
      </c>
      <c r="B197" s="11" t="s">
        <v>55</v>
      </c>
      <c r="C197" s="11">
        <v>80085642</v>
      </c>
      <c r="D197" s="42">
        <v>660000</v>
      </c>
      <c r="E197" s="16"/>
      <c r="F197" s="11" t="s">
        <v>4</v>
      </c>
    </row>
    <row r="198" spans="1:6" ht="15.6" x14ac:dyDescent="0.3">
      <c r="A198" s="7">
        <v>189</v>
      </c>
      <c r="B198" s="9" t="s">
        <v>323</v>
      </c>
      <c r="C198" s="9">
        <v>5199956</v>
      </c>
      <c r="D198" s="43"/>
      <c r="E198" s="17"/>
      <c r="F198" s="9" t="s">
        <v>319</v>
      </c>
    </row>
    <row r="199" spans="1:6" ht="15.6" x14ac:dyDescent="0.3">
      <c r="A199" s="7">
        <v>190</v>
      </c>
      <c r="B199" s="25" t="s">
        <v>286</v>
      </c>
      <c r="C199" s="26">
        <v>5356050</v>
      </c>
      <c r="D199" s="56"/>
      <c r="E199" s="57"/>
      <c r="F199" s="6" t="s">
        <v>46</v>
      </c>
    </row>
    <row r="200" spans="1:6" ht="15.6" x14ac:dyDescent="0.3">
      <c r="A200" s="7">
        <v>191</v>
      </c>
      <c r="B200" s="9" t="s">
        <v>17</v>
      </c>
      <c r="C200" s="9">
        <v>4844460</v>
      </c>
      <c r="D200" s="43"/>
      <c r="E200" s="17"/>
      <c r="F200" s="9" t="s">
        <v>18</v>
      </c>
    </row>
    <row r="201" spans="1:6" ht="15.6" x14ac:dyDescent="0.3">
      <c r="A201" s="7"/>
      <c r="B201" s="9" t="s">
        <v>403</v>
      </c>
      <c r="C201" s="9">
        <v>80117849</v>
      </c>
      <c r="D201" s="43">
        <v>2000000</v>
      </c>
      <c r="E201" s="17"/>
      <c r="F201" s="11" t="s">
        <v>4</v>
      </c>
    </row>
    <row r="202" spans="1:6" ht="15.6" x14ac:dyDescent="0.3">
      <c r="A202" s="7">
        <v>192</v>
      </c>
      <c r="B202" s="8" t="s">
        <v>306</v>
      </c>
      <c r="C202" s="8">
        <v>3874493</v>
      </c>
      <c r="D202" s="42">
        <v>165000</v>
      </c>
      <c r="E202" s="16"/>
      <c r="F202" s="8" t="s">
        <v>307</v>
      </c>
    </row>
    <row r="203" spans="1:6" ht="15.6" x14ac:dyDescent="0.3">
      <c r="A203" s="7">
        <v>193</v>
      </c>
      <c r="B203" s="11" t="s">
        <v>178</v>
      </c>
      <c r="C203" s="11">
        <v>80078607</v>
      </c>
      <c r="D203" s="42">
        <v>550000</v>
      </c>
      <c r="E203" s="16"/>
      <c r="F203" s="11" t="s">
        <v>4</v>
      </c>
    </row>
    <row r="204" spans="1:6" ht="15.6" x14ac:dyDescent="0.3">
      <c r="A204" s="7">
        <v>194</v>
      </c>
      <c r="B204" s="9" t="s">
        <v>151</v>
      </c>
      <c r="C204" s="9">
        <v>1620986</v>
      </c>
      <c r="D204" s="43">
        <v>350000</v>
      </c>
      <c r="E204" s="17"/>
      <c r="F204" s="9" t="s">
        <v>44</v>
      </c>
    </row>
    <row r="205" spans="1:6" ht="15.6" x14ac:dyDescent="0.3">
      <c r="A205" s="7">
        <v>195</v>
      </c>
      <c r="B205" s="25" t="s">
        <v>391</v>
      </c>
      <c r="C205" s="26">
        <v>80114239</v>
      </c>
      <c r="D205" s="56">
        <v>2000000</v>
      </c>
      <c r="E205" s="57"/>
      <c r="F205" s="6" t="s">
        <v>4</v>
      </c>
    </row>
    <row r="206" spans="1:6" ht="15.6" x14ac:dyDescent="0.3">
      <c r="A206" s="7">
        <v>196</v>
      </c>
      <c r="B206" s="11" t="s">
        <v>378</v>
      </c>
      <c r="C206" s="11">
        <v>3986612</v>
      </c>
      <c r="D206" s="56"/>
      <c r="E206" s="57"/>
      <c r="F206" s="6"/>
    </row>
    <row r="207" spans="1:6" ht="15.6" x14ac:dyDescent="0.3">
      <c r="A207" s="7">
        <v>197</v>
      </c>
      <c r="B207" s="9" t="s">
        <v>191</v>
      </c>
      <c r="C207" s="9">
        <v>80110898</v>
      </c>
      <c r="D207" s="43">
        <v>550000</v>
      </c>
      <c r="E207" s="17"/>
      <c r="F207" s="9" t="s">
        <v>4</v>
      </c>
    </row>
    <row r="208" spans="1:6" ht="15.6" x14ac:dyDescent="0.3">
      <c r="A208" s="7">
        <v>198</v>
      </c>
      <c r="B208" s="11" t="s">
        <v>173</v>
      </c>
      <c r="C208" s="11">
        <v>6116437</v>
      </c>
      <c r="D208" s="42"/>
      <c r="E208" s="16"/>
      <c r="F208" s="11" t="s">
        <v>174</v>
      </c>
    </row>
    <row r="209" spans="1:8" ht="15.6" x14ac:dyDescent="0.3">
      <c r="A209" s="7">
        <v>199</v>
      </c>
      <c r="B209" s="8" t="s">
        <v>35</v>
      </c>
      <c r="C209" s="8">
        <v>5877551</v>
      </c>
      <c r="D209" s="42"/>
      <c r="E209" s="16"/>
      <c r="F209" s="8" t="s">
        <v>13</v>
      </c>
    </row>
    <row r="210" spans="1:8" ht="15.6" x14ac:dyDescent="0.3">
      <c r="A210" s="7">
        <v>200</v>
      </c>
      <c r="B210" s="8" t="s">
        <v>37</v>
      </c>
      <c r="C210" s="8">
        <v>80091411</v>
      </c>
      <c r="D210" s="42">
        <v>660000</v>
      </c>
      <c r="E210" s="16"/>
      <c r="F210" s="8" t="s">
        <v>4</v>
      </c>
    </row>
    <row r="211" spans="1:8" ht="15.6" x14ac:dyDescent="0.3">
      <c r="A211" s="7">
        <v>201</v>
      </c>
      <c r="B211" s="25" t="s">
        <v>245</v>
      </c>
      <c r="C211" s="26">
        <v>8521360</v>
      </c>
      <c r="D211" s="56">
        <v>330000</v>
      </c>
      <c r="E211" s="57"/>
      <c r="F211" s="6" t="s">
        <v>246</v>
      </c>
    </row>
    <row r="212" spans="1:8" ht="15.6" x14ac:dyDescent="0.3">
      <c r="A212" s="7">
        <v>202</v>
      </c>
      <c r="B212" s="8" t="s">
        <v>40</v>
      </c>
      <c r="C212" s="8">
        <v>80100281</v>
      </c>
      <c r="D212" s="42"/>
      <c r="E212" s="16">
        <v>220</v>
      </c>
      <c r="F212" s="8" t="s">
        <v>4</v>
      </c>
    </row>
    <row r="213" spans="1:8" ht="15.6" x14ac:dyDescent="0.3">
      <c r="A213" s="7">
        <v>203</v>
      </c>
      <c r="B213" s="8" t="s">
        <v>183</v>
      </c>
      <c r="C213" s="8">
        <v>1045318</v>
      </c>
      <c r="D213" s="42"/>
      <c r="E213" s="16"/>
      <c r="F213" s="8" t="s">
        <v>184</v>
      </c>
    </row>
    <row r="214" spans="1:8" ht="15.6" x14ac:dyDescent="0.3">
      <c r="A214" s="7">
        <v>204</v>
      </c>
      <c r="B214" s="8" t="s">
        <v>142</v>
      </c>
      <c r="C214" s="8">
        <v>4251876</v>
      </c>
      <c r="D214" s="42">
        <v>275000</v>
      </c>
      <c r="E214" s="16"/>
      <c r="F214" s="8" t="s">
        <v>143</v>
      </c>
    </row>
    <row r="215" spans="1:8" ht="15.6" x14ac:dyDescent="0.3">
      <c r="A215" s="7">
        <v>205</v>
      </c>
      <c r="B215" s="8" t="s">
        <v>106</v>
      </c>
      <c r="C215" s="8">
        <v>80039474</v>
      </c>
      <c r="D215" s="42">
        <v>2500000</v>
      </c>
      <c r="E215" s="16"/>
      <c r="F215" s="8" t="s">
        <v>4</v>
      </c>
    </row>
    <row r="216" spans="1:8" ht="15.6" x14ac:dyDescent="0.3">
      <c r="A216" s="7">
        <v>206</v>
      </c>
      <c r="B216" s="9" t="s">
        <v>128</v>
      </c>
      <c r="C216" s="9">
        <v>2920545</v>
      </c>
      <c r="D216" s="43"/>
      <c r="E216" s="17">
        <v>375</v>
      </c>
      <c r="F216" s="8" t="s">
        <v>88</v>
      </c>
    </row>
    <row r="217" spans="1:8" ht="15.6" x14ac:dyDescent="0.3">
      <c r="A217" s="7">
        <v>207</v>
      </c>
      <c r="B217" s="11" t="s">
        <v>305</v>
      </c>
      <c r="C217" s="11">
        <v>3240862</v>
      </c>
      <c r="D217" s="42"/>
      <c r="E217" s="16"/>
      <c r="F217" s="11" t="s">
        <v>304</v>
      </c>
    </row>
    <row r="218" spans="1:8" ht="15.6" x14ac:dyDescent="0.3">
      <c r="A218" s="7">
        <v>208</v>
      </c>
      <c r="B218" s="9" t="s">
        <v>201</v>
      </c>
      <c r="C218" s="9">
        <v>4064659</v>
      </c>
      <c r="D218" s="43">
        <v>250000</v>
      </c>
      <c r="E218" s="17"/>
      <c r="F218" s="11" t="s">
        <v>4</v>
      </c>
    </row>
    <row r="219" spans="1:8" ht="15.6" x14ac:dyDescent="0.3">
      <c r="A219" s="7">
        <v>209</v>
      </c>
      <c r="B219" s="25" t="s">
        <v>314</v>
      </c>
      <c r="C219" s="26">
        <v>2408234</v>
      </c>
      <c r="D219" s="56">
        <v>165000</v>
      </c>
      <c r="E219" s="57"/>
      <c r="F219" s="6" t="s">
        <v>313</v>
      </c>
    </row>
    <row r="220" spans="1:8" ht="15.6" x14ac:dyDescent="0.3">
      <c r="A220" s="7">
        <v>210</v>
      </c>
      <c r="B220" s="25" t="s">
        <v>345</v>
      </c>
      <c r="C220" s="26">
        <v>1491169</v>
      </c>
      <c r="D220" s="56">
        <v>165000</v>
      </c>
      <c r="E220" s="57"/>
      <c r="F220" s="6" t="s">
        <v>342</v>
      </c>
    </row>
    <row r="221" spans="1:8" ht="15.6" x14ac:dyDescent="0.3">
      <c r="A221" s="7">
        <v>211</v>
      </c>
      <c r="B221" s="8" t="s">
        <v>185</v>
      </c>
      <c r="C221" s="8">
        <v>1620988</v>
      </c>
      <c r="D221" s="42"/>
      <c r="E221" s="16">
        <f>+H221/12</f>
        <v>418.66666666666669</v>
      </c>
      <c r="F221" s="8" t="s">
        <v>186</v>
      </c>
      <c r="H221" s="63">
        <v>5024</v>
      </c>
    </row>
    <row r="222" spans="1:8" ht="15.6" x14ac:dyDescent="0.3">
      <c r="A222" s="7"/>
      <c r="B222" s="25" t="s">
        <v>404</v>
      </c>
      <c r="C222" s="26">
        <v>6313442</v>
      </c>
      <c r="D222" s="56">
        <v>220000</v>
      </c>
      <c r="E222" s="57"/>
      <c r="F222" s="11" t="s">
        <v>46</v>
      </c>
    </row>
    <row r="223" spans="1:8" ht="15.6" x14ac:dyDescent="0.3">
      <c r="A223" s="7">
        <v>212</v>
      </c>
      <c r="B223" s="14" t="s">
        <v>187</v>
      </c>
      <c r="C223" s="14">
        <v>7866108</v>
      </c>
      <c r="D223" s="48">
        <v>550000</v>
      </c>
      <c r="E223" s="20"/>
      <c r="F223" s="8" t="s">
        <v>4</v>
      </c>
    </row>
    <row r="224" spans="1:8" ht="15.6" x14ac:dyDescent="0.3">
      <c r="A224" s="7">
        <v>213</v>
      </c>
      <c r="B224" s="8" t="s">
        <v>144</v>
      </c>
      <c r="C224" s="8">
        <v>7439436</v>
      </c>
      <c r="D224" s="42"/>
      <c r="E224" s="16"/>
      <c r="F224" s="8" t="s">
        <v>145</v>
      </c>
    </row>
    <row r="225" spans="1:6" ht="15.6" x14ac:dyDescent="0.3">
      <c r="A225" s="7">
        <v>214</v>
      </c>
      <c r="B225" s="8" t="s">
        <v>125</v>
      </c>
      <c r="C225" s="8">
        <v>80020525</v>
      </c>
      <c r="D225" s="42">
        <v>550000</v>
      </c>
      <c r="E225" s="16"/>
      <c r="F225" s="8" t="s">
        <v>4</v>
      </c>
    </row>
    <row r="226" spans="1:6" ht="15.6" x14ac:dyDescent="0.3">
      <c r="A226" s="7">
        <v>215</v>
      </c>
      <c r="B226" s="11" t="s">
        <v>297</v>
      </c>
      <c r="C226" s="11">
        <v>3895072</v>
      </c>
      <c r="D226" s="42">
        <v>88000</v>
      </c>
      <c r="E226" s="16"/>
      <c r="F226" s="11" t="s">
        <v>46</v>
      </c>
    </row>
    <row r="227" spans="1:6" ht="15.6" x14ac:dyDescent="0.3">
      <c r="A227" s="7">
        <v>216</v>
      </c>
      <c r="B227" s="9" t="s">
        <v>357</v>
      </c>
      <c r="C227" s="9"/>
      <c r="D227" s="43"/>
      <c r="E227" s="17"/>
      <c r="F227" s="8" t="s">
        <v>268</v>
      </c>
    </row>
    <row r="228" spans="1:6" ht="15.6" x14ac:dyDescent="0.3">
      <c r="A228" s="7">
        <v>217</v>
      </c>
      <c r="B228" s="25" t="s">
        <v>265</v>
      </c>
      <c r="C228" s="26">
        <v>80148636</v>
      </c>
      <c r="D228" s="56"/>
      <c r="E228" s="57"/>
      <c r="F228" s="6"/>
    </row>
    <row r="229" spans="1:6" ht="15.6" x14ac:dyDescent="0.3">
      <c r="A229" s="7">
        <v>218</v>
      </c>
      <c r="B229" s="9" t="s">
        <v>43</v>
      </c>
      <c r="C229" s="9">
        <v>80112681</v>
      </c>
      <c r="D229" s="43"/>
      <c r="E229" s="17"/>
      <c r="F229" s="9" t="s">
        <v>44</v>
      </c>
    </row>
    <row r="230" spans="1:6" ht="15.6" x14ac:dyDescent="0.3">
      <c r="A230" s="7">
        <v>219</v>
      </c>
      <c r="B230" s="9" t="s">
        <v>168</v>
      </c>
      <c r="C230" s="9">
        <v>2311527</v>
      </c>
      <c r="D230" s="43"/>
      <c r="E230" s="17"/>
      <c r="F230" s="9" t="s">
        <v>4</v>
      </c>
    </row>
    <row r="231" spans="1:6" ht="15.6" x14ac:dyDescent="0.3">
      <c r="A231" s="7">
        <v>220</v>
      </c>
      <c r="B231" s="9" t="s">
        <v>14</v>
      </c>
      <c r="C231" s="9">
        <v>2385240</v>
      </c>
      <c r="D231" s="43">
        <v>0</v>
      </c>
      <c r="E231" s="17"/>
      <c r="F231" s="9" t="s">
        <v>15</v>
      </c>
    </row>
    <row r="232" spans="1:6" ht="15.6" x14ac:dyDescent="0.3">
      <c r="A232" s="7">
        <v>221</v>
      </c>
      <c r="B232" s="9" t="s">
        <v>89</v>
      </c>
      <c r="C232" s="9">
        <v>2416163</v>
      </c>
      <c r="D232" s="43">
        <v>440000</v>
      </c>
      <c r="E232" s="17"/>
      <c r="F232" s="9" t="s">
        <v>88</v>
      </c>
    </row>
    <row r="233" spans="1:6" ht="15.6" x14ac:dyDescent="0.3">
      <c r="A233" s="7">
        <v>222</v>
      </c>
      <c r="B233" s="8" t="s">
        <v>147</v>
      </c>
      <c r="C233" s="8">
        <v>2419246</v>
      </c>
      <c r="D233" s="42">
        <v>220000</v>
      </c>
      <c r="E233" s="16"/>
      <c r="F233" s="8" t="s">
        <v>148</v>
      </c>
    </row>
    <row r="234" spans="1:6" ht="15.6" x14ac:dyDescent="0.3">
      <c r="A234" s="7">
        <v>223</v>
      </c>
      <c r="B234" s="9" t="s">
        <v>96</v>
      </c>
      <c r="C234" s="9">
        <v>2476633</v>
      </c>
      <c r="D234" s="43"/>
      <c r="E234" s="17"/>
      <c r="F234" s="9" t="s">
        <v>79</v>
      </c>
    </row>
    <row r="235" spans="1:6" ht="15.6" x14ac:dyDescent="0.3">
      <c r="A235" s="7">
        <v>224</v>
      </c>
      <c r="B235" s="9" t="s">
        <v>23</v>
      </c>
      <c r="C235" s="9">
        <v>239260</v>
      </c>
      <c r="D235" s="43"/>
      <c r="E235" s="17"/>
      <c r="F235" s="9" t="s">
        <v>24</v>
      </c>
    </row>
    <row r="236" spans="1:6" ht="15.6" x14ac:dyDescent="0.3">
      <c r="A236" s="7">
        <v>225</v>
      </c>
      <c r="B236" s="9" t="s">
        <v>20</v>
      </c>
      <c r="C236" s="9">
        <v>7357180</v>
      </c>
      <c r="D236" s="43">
        <v>275000</v>
      </c>
      <c r="E236" s="17"/>
      <c r="F236" s="9" t="s">
        <v>9</v>
      </c>
    </row>
    <row r="237" spans="1:6" ht="15.6" x14ac:dyDescent="0.3">
      <c r="A237" s="7">
        <v>226</v>
      </c>
      <c r="B237" s="9" t="s">
        <v>188</v>
      </c>
      <c r="C237" s="9">
        <v>80047428</v>
      </c>
      <c r="D237" s="43">
        <v>5000000</v>
      </c>
      <c r="E237" s="17"/>
      <c r="F237" s="9" t="s">
        <v>4</v>
      </c>
    </row>
    <row r="238" spans="1:6" ht="15.6" x14ac:dyDescent="0.3">
      <c r="A238" s="7">
        <v>227</v>
      </c>
      <c r="B238" s="9" t="s">
        <v>202</v>
      </c>
      <c r="C238" s="9">
        <v>3757279</v>
      </c>
      <c r="D238" s="43"/>
      <c r="E238" s="17"/>
      <c r="F238" s="9" t="s">
        <v>203</v>
      </c>
    </row>
    <row r="239" spans="1:6" ht="15.6" x14ac:dyDescent="0.3">
      <c r="A239" s="7">
        <v>228</v>
      </c>
      <c r="B239" s="9" t="s">
        <v>189</v>
      </c>
      <c r="C239" s="9">
        <v>3542548</v>
      </c>
      <c r="D239" s="43"/>
      <c r="E239" s="17"/>
      <c r="F239" s="9" t="s">
        <v>190</v>
      </c>
    </row>
    <row r="240" spans="1:6" ht="15.6" x14ac:dyDescent="0.3">
      <c r="A240" s="84">
        <v>229</v>
      </c>
      <c r="B240" s="35" t="s">
        <v>26</v>
      </c>
      <c r="C240" s="35">
        <v>80114510</v>
      </c>
      <c r="D240" s="46"/>
      <c r="E240" s="36"/>
      <c r="F240" s="35" t="s">
        <v>4</v>
      </c>
    </row>
    <row r="241" spans="1:10" ht="15.6" x14ac:dyDescent="0.3">
      <c r="A241" s="7">
        <v>230</v>
      </c>
      <c r="B241" s="9" t="s">
        <v>358</v>
      </c>
      <c r="C241" s="9"/>
      <c r="D241" s="43">
        <v>165000</v>
      </c>
      <c r="E241" s="17"/>
      <c r="F241" s="8" t="s">
        <v>359</v>
      </c>
    </row>
    <row r="242" spans="1:10" ht="15.6" x14ac:dyDescent="0.3">
      <c r="A242" s="7">
        <v>231</v>
      </c>
      <c r="B242" s="25" t="s">
        <v>360</v>
      </c>
      <c r="C242" s="26"/>
      <c r="D242" s="56">
        <v>165000</v>
      </c>
      <c r="E242" s="57"/>
      <c r="F242" s="6" t="s">
        <v>268</v>
      </c>
    </row>
    <row r="243" spans="1:10" ht="15.6" x14ac:dyDescent="0.3">
      <c r="A243" s="7">
        <v>232</v>
      </c>
      <c r="B243" s="25" t="s">
        <v>329</v>
      </c>
      <c r="C243" s="26">
        <v>5780387</v>
      </c>
      <c r="D243" s="56"/>
      <c r="E243" s="57"/>
      <c r="F243" s="6" t="s">
        <v>282</v>
      </c>
      <c r="G243" s="68"/>
      <c r="H243" s="69"/>
      <c r="I243" s="3"/>
      <c r="J243" s="3"/>
    </row>
    <row r="244" spans="1:10" s="3" customFormat="1" ht="15.6" x14ac:dyDescent="0.3">
      <c r="A244" s="7"/>
      <c r="B244" s="25" t="s">
        <v>405</v>
      </c>
      <c r="C244" s="26">
        <v>80112922</v>
      </c>
      <c r="D244" s="56">
        <v>165000</v>
      </c>
      <c r="E244" s="57"/>
      <c r="F244" s="6"/>
      <c r="G244" s="62"/>
      <c r="H244" s="63"/>
      <c r="I244" s="5"/>
      <c r="J244" s="5"/>
    </row>
    <row r="245" spans="1:10" s="3" customFormat="1" ht="15.6" x14ac:dyDescent="0.3">
      <c r="A245" s="7">
        <v>233</v>
      </c>
      <c r="B245" s="8" t="s">
        <v>393</v>
      </c>
      <c r="C245" s="8">
        <v>80051443</v>
      </c>
      <c r="D245" s="42">
        <v>2000000</v>
      </c>
      <c r="E245" s="16"/>
      <c r="F245" s="8" t="s">
        <v>4</v>
      </c>
      <c r="G245" s="68"/>
      <c r="H245" s="69"/>
    </row>
    <row r="246" spans="1:10" s="3" customFormat="1" ht="15.6" x14ac:dyDescent="0.3">
      <c r="A246" s="7">
        <v>234</v>
      </c>
      <c r="B246" s="11" t="s">
        <v>64</v>
      </c>
      <c r="C246" s="11">
        <v>5406882</v>
      </c>
      <c r="D246" s="42"/>
      <c r="E246" s="16"/>
      <c r="F246" s="11" t="s">
        <v>54</v>
      </c>
      <c r="G246" s="68"/>
      <c r="H246" s="69"/>
    </row>
    <row r="247" spans="1:10" s="3" customFormat="1" ht="15.6" x14ac:dyDescent="0.3">
      <c r="A247" s="7">
        <v>235</v>
      </c>
      <c r="B247" s="8" t="s">
        <v>141</v>
      </c>
      <c r="C247" s="8">
        <v>6221076</v>
      </c>
      <c r="D247" s="42"/>
      <c r="E247" s="16"/>
      <c r="F247" s="8" t="s">
        <v>140</v>
      </c>
      <c r="G247" s="68"/>
      <c r="H247" s="69"/>
    </row>
    <row r="248" spans="1:10" s="3" customFormat="1" ht="15.6" x14ac:dyDescent="0.3">
      <c r="A248" s="7">
        <v>236</v>
      </c>
      <c r="B248" s="9" t="s">
        <v>110</v>
      </c>
      <c r="C248" s="9">
        <v>1620984</v>
      </c>
      <c r="D248" s="43">
        <v>330000</v>
      </c>
      <c r="E248" s="17"/>
      <c r="F248" s="9" t="s">
        <v>4</v>
      </c>
      <c r="G248" s="68"/>
      <c r="H248" s="69"/>
    </row>
    <row r="249" spans="1:10" s="3" customFormat="1" ht="15.6" x14ac:dyDescent="0.3">
      <c r="A249" s="7">
        <v>237</v>
      </c>
      <c r="B249" s="9" t="s">
        <v>16</v>
      </c>
      <c r="C249" s="9">
        <v>3540170</v>
      </c>
      <c r="D249" s="43"/>
      <c r="E249" s="17"/>
      <c r="F249" s="9" t="s">
        <v>15</v>
      </c>
      <c r="G249" s="68"/>
      <c r="H249" s="69"/>
    </row>
    <row r="250" spans="1:10" s="3" customFormat="1" ht="15.6" x14ac:dyDescent="0.3">
      <c r="A250" s="7"/>
      <c r="B250" s="9" t="s">
        <v>406</v>
      </c>
      <c r="C250" s="9">
        <v>4106128</v>
      </c>
      <c r="D250" s="43">
        <v>165000</v>
      </c>
      <c r="E250" s="17"/>
      <c r="F250" s="9"/>
      <c r="G250" s="68"/>
      <c r="H250" s="69"/>
    </row>
    <row r="251" spans="1:10" s="3" customFormat="1" ht="15.6" x14ac:dyDescent="0.3">
      <c r="A251" s="7">
        <v>238</v>
      </c>
      <c r="B251" s="9" t="s">
        <v>153</v>
      </c>
      <c r="C251" s="9">
        <v>3910796</v>
      </c>
      <c r="D251" s="43">
        <f>+G251/12</f>
        <v>180000</v>
      </c>
      <c r="E251" s="17"/>
      <c r="F251" s="9" t="s">
        <v>46</v>
      </c>
      <c r="G251" s="68">
        <v>2160000</v>
      </c>
      <c r="H251" s="69"/>
    </row>
    <row r="252" spans="1:10" ht="15.6" x14ac:dyDescent="0.3">
      <c r="A252" s="7">
        <v>239</v>
      </c>
      <c r="B252" s="9" t="s">
        <v>117</v>
      </c>
      <c r="C252" s="9">
        <v>4933244</v>
      </c>
      <c r="D252" s="43">
        <v>400000</v>
      </c>
      <c r="E252" s="17"/>
      <c r="F252" s="8" t="s">
        <v>4</v>
      </c>
    </row>
    <row r="253" spans="1:10" ht="15.6" x14ac:dyDescent="0.3">
      <c r="A253" s="7">
        <v>240</v>
      </c>
      <c r="B253" s="9" t="s">
        <v>193</v>
      </c>
      <c r="C253" s="9">
        <v>3957658</v>
      </c>
      <c r="D253" s="43">
        <f>+G253/12</f>
        <v>190000</v>
      </c>
      <c r="E253" s="17"/>
      <c r="F253" s="9" t="s">
        <v>46</v>
      </c>
      <c r="G253" s="62">
        <v>2280000</v>
      </c>
    </row>
    <row r="254" spans="1:10" ht="15.6" x14ac:dyDescent="0.3">
      <c r="A254" s="7">
        <v>241</v>
      </c>
      <c r="B254" s="11" t="s">
        <v>295</v>
      </c>
      <c r="C254" s="11">
        <v>5742052</v>
      </c>
      <c r="D254" s="42">
        <v>275000</v>
      </c>
      <c r="E254" s="16"/>
      <c r="F254" s="11" t="s">
        <v>296</v>
      </c>
    </row>
    <row r="255" spans="1:10" ht="15.6" x14ac:dyDescent="0.3">
      <c r="A255" s="7">
        <v>242</v>
      </c>
      <c r="B255" s="9" t="s">
        <v>68</v>
      </c>
      <c r="C255" s="9">
        <v>4192842</v>
      </c>
      <c r="D255" s="43">
        <f>+G255/12</f>
        <v>208333.33333333334</v>
      </c>
      <c r="E255" s="17"/>
      <c r="F255" s="9" t="s">
        <v>4</v>
      </c>
      <c r="G255" s="62">
        <v>2500000</v>
      </c>
    </row>
    <row r="256" spans="1:10" ht="15.6" x14ac:dyDescent="0.3">
      <c r="A256" s="7">
        <v>243</v>
      </c>
      <c r="B256" s="8" t="s">
        <v>87</v>
      </c>
      <c r="C256" s="8">
        <v>2460503</v>
      </c>
      <c r="D256" s="42">
        <f>+G256/12</f>
        <v>400000</v>
      </c>
      <c r="E256" s="16"/>
      <c r="F256" s="8" t="s">
        <v>88</v>
      </c>
      <c r="G256" s="62">
        <v>4800000</v>
      </c>
    </row>
    <row r="257" spans="1:6" ht="15.6" x14ac:dyDescent="0.3">
      <c r="A257" s="7"/>
      <c r="B257" s="8" t="s">
        <v>407</v>
      </c>
      <c r="C257" s="8">
        <v>3705369</v>
      </c>
      <c r="D257" s="42">
        <v>70000</v>
      </c>
      <c r="E257" s="16"/>
      <c r="F257" s="8"/>
    </row>
    <row r="258" spans="1:6" ht="15.6" x14ac:dyDescent="0.3">
      <c r="A258" s="7">
        <v>244</v>
      </c>
      <c r="B258" s="9" t="s">
        <v>67</v>
      </c>
      <c r="C258" s="9">
        <v>6291392</v>
      </c>
      <c r="D258" s="43"/>
      <c r="E258" s="17"/>
      <c r="F258" s="9" t="s">
        <v>4</v>
      </c>
    </row>
    <row r="259" spans="1:6" ht="15" customHeight="1" x14ac:dyDescent="0.3">
      <c r="A259" s="7">
        <v>245</v>
      </c>
      <c r="B259" s="25" t="s">
        <v>332</v>
      </c>
      <c r="C259" s="26">
        <v>4059017</v>
      </c>
      <c r="D259" s="56"/>
      <c r="E259" s="57"/>
      <c r="F259" s="6" t="s">
        <v>333</v>
      </c>
    </row>
    <row r="260" spans="1:6" ht="15.6" x14ac:dyDescent="0.3">
      <c r="A260" s="7">
        <v>246</v>
      </c>
      <c r="B260" s="25" t="s">
        <v>384</v>
      </c>
      <c r="C260" s="26">
        <v>4195555</v>
      </c>
      <c r="D260" s="56"/>
      <c r="E260" s="57"/>
      <c r="F260" s="6"/>
    </row>
    <row r="261" spans="1:6" ht="15.6" x14ac:dyDescent="0.3">
      <c r="A261" s="7">
        <v>247</v>
      </c>
      <c r="B261" s="25" t="s">
        <v>373</v>
      </c>
      <c r="C261" s="26">
        <v>4459571</v>
      </c>
      <c r="D261" s="56">
        <v>200000</v>
      </c>
      <c r="E261" s="57"/>
      <c r="F261" s="6" t="s">
        <v>136</v>
      </c>
    </row>
    <row r="262" spans="1:6" ht="15" thickBot="1" x14ac:dyDescent="0.35">
      <c r="D262" s="58">
        <f>SUM(D4:D261)</f>
        <v>92296948.666666672</v>
      </c>
      <c r="E262" s="59">
        <f>SUM(E4:E260)</f>
        <v>5745.3333333333339</v>
      </c>
    </row>
    <row r="266" spans="1:6" x14ac:dyDescent="0.3">
      <c r="E266" s="60">
        <f>+E262*6500</f>
        <v>37344666.666666672</v>
      </c>
    </row>
    <row r="267" spans="1:6" x14ac:dyDescent="0.3">
      <c r="E267" s="60">
        <f>+E266+D262</f>
        <v>129641615.33333334</v>
      </c>
    </row>
  </sheetData>
  <sortState xmlns:xlrd2="http://schemas.microsoft.com/office/spreadsheetml/2017/richdata2" ref="A2:J261">
    <sortCondition ref="B4:B261"/>
  </sortState>
  <mergeCells count="5">
    <mergeCell ref="A1:F1"/>
    <mergeCell ref="A2:A3"/>
    <mergeCell ref="B2:B3"/>
    <mergeCell ref="C2:C3"/>
    <mergeCell ref="D2:E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6A43-3FD7-44AE-81FA-0DEF888542F4}">
  <dimension ref="A1:F20"/>
  <sheetViews>
    <sheetView zoomScale="110" zoomScaleNormal="110" workbookViewId="0">
      <selection activeCell="D20" sqref="D20:E20"/>
    </sheetView>
  </sheetViews>
  <sheetFormatPr baseColWidth="10" defaultRowHeight="13.8" x14ac:dyDescent="0.25"/>
  <cols>
    <col min="1" max="1" width="6.6640625" style="27" customWidth="1"/>
    <col min="2" max="2" width="38.77734375" style="27" customWidth="1"/>
    <col min="3" max="3" width="11.77734375" style="27" customWidth="1"/>
    <col min="4" max="4" width="11.5546875" style="77"/>
    <col min="5" max="5" width="16.33203125" style="77" customWidth="1"/>
    <col min="6" max="6" width="29.21875" style="27" customWidth="1"/>
    <col min="7" max="7" width="16.109375" style="27" customWidth="1"/>
    <col min="8" max="16384" width="11.5546875" style="27"/>
  </cols>
  <sheetData>
    <row r="1" spans="1:6" ht="18.600000000000001" x14ac:dyDescent="0.3">
      <c r="A1" s="91" t="s">
        <v>275</v>
      </c>
      <c r="B1" s="92"/>
      <c r="C1" s="92"/>
      <c r="D1" s="92"/>
      <c r="E1" s="92"/>
      <c r="F1" s="92"/>
    </row>
    <row r="2" spans="1:6" ht="18.600000000000001" x14ac:dyDescent="0.3">
      <c r="A2" s="93" t="s">
        <v>0</v>
      </c>
      <c r="B2" s="93" t="s">
        <v>1</v>
      </c>
      <c r="C2" s="93" t="s">
        <v>2</v>
      </c>
      <c r="D2" s="93" t="s">
        <v>214</v>
      </c>
      <c r="E2" s="93"/>
      <c r="F2" s="94" t="s">
        <v>213</v>
      </c>
    </row>
    <row r="3" spans="1:6" ht="18.600000000000001" x14ac:dyDescent="0.3">
      <c r="A3" s="93"/>
      <c r="B3" s="93"/>
      <c r="C3" s="93"/>
      <c r="D3" s="75" t="s">
        <v>215</v>
      </c>
      <c r="E3" s="75" t="s">
        <v>216</v>
      </c>
      <c r="F3" s="95"/>
    </row>
    <row r="4" spans="1:6" x14ac:dyDescent="0.25">
      <c r="A4" s="28">
        <v>1</v>
      </c>
      <c r="B4" s="29" t="s">
        <v>217</v>
      </c>
      <c r="C4" s="29" t="s">
        <v>218</v>
      </c>
      <c r="D4" s="76"/>
      <c r="E4" s="76"/>
      <c r="F4" s="28" t="s">
        <v>249</v>
      </c>
    </row>
    <row r="5" spans="1:6" x14ac:dyDescent="0.25">
      <c r="A5" s="28">
        <v>2</v>
      </c>
      <c r="B5" s="29" t="s">
        <v>252</v>
      </c>
      <c r="C5" s="29" t="s">
        <v>253</v>
      </c>
      <c r="D5" s="76"/>
      <c r="E5" s="76"/>
      <c r="F5" s="28" t="s">
        <v>246</v>
      </c>
    </row>
    <row r="6" spans="1:6" x14ac:dyDescent="0.25">
      <c r="A6" s="28">
        <v>3</v>
      </c>
      <c r="B6" s="29" t="s">
        <v>257</v>
      </c>
      <c r="C6" s="29" t="s">
        <v>258</v>
      </c>
      <c r="D6" s="76"/>
      <c r="E6" s="76"/>
      <c r="F6" s="28" t="s">
        <v>249</v>
      </c>
    </row>
    <row r="7" spans="1:6" x14ac:dyDescent="0.25">
      <c r="A7" s="28">
        <v>4</v>
      </c>
      <c r="B7" s="29" t="s">
        <v>219</v>
      </c>
      <c r="C7" s="29" t="s">
        <v>220</v>
      </c>
      <c r="D7" s="76"/>
      <c r="E7" s="76"/>
      <c r="F7" s="28" t="s">
        <v>249</v>
      </c>
    </row>
    <row r="8" spans="1:6" x14ac:dyDescent="0.25">
      <c r="A8" s="28">
        <v>5</v>
      </c>
      <c r="B8" s="29" t="s">
        <v>259</v>
      </c>
      <c r="C8" s="29" t="s">
        <v>260</v>
      </c>
      <c r="D8" s="76"/>
      <c r="E8" s="76"/>
      <c r="F8" s="28" t="s">
        <v>246</v>
      </c>
    </row>
    <row r="9" spans="1:6" x14ac:dyDescent="0.25">
      <c r="A9" s="28">
        <v>6</v>
      </c>
      <c r="B9" s="29" t="s">
        <v>221</v>
      </c>
      <c r="C9" s="29" t="s">
        <v>222</v>
      </c>
      <c r="D9" s="76"/>
      <c r="E9" s="76"/>
      <c r="F9" s="28" t="s">
        <v>246</v>
      </c>
    </row>
    <row r="10" spans="1:6" x14ac:dyDescent="0.25">
      <c r="A10" s="28">
        <v>7</v>
      </c>
      <c r="B10" s="29" t="s">
        <v>223</v>
      </c>
      <c r="C10" s="29" t="s">
        <v>224</v>
      </c>
      <c r="D10" s="76"/>
      <c r="E10" s="76"/>
      <c r="F10" s="28" t="s">
        <v>248</v>
      </c>
    </row>
    <row r="11" spans="1:6" x14ac:dyDescent="0.25">
      <c r="A11" s="28">
        <v>8</v>
      </c>
      <c r="B11" s="29" t="s">
        <v>226</v>
      </c>
      <c r="C11" s="29" t="s">
        <v>227</v>
      </c>
      <c r="D11" s="76"/>
      <c r="E11" s="76"/>
      <c r="F11" s="28"/>
    </row>
    <row r="12" spans="1:6" x14ac:dyDescent="0.25">
      <c r="A12" s="28">
        <v>9</v>
      </c>
      <c r="B12" s="29" t="s">
        <v>228</v>
      </c>
      <c r="C12" s="29" t="s">
        <v>229</v>
      </c>
      <c r="D12" s="76"/>
      <c r="E12" s="76"/>
      <c r="F12" s="28"/>
    </row>
    <row r="13" spans="1:6" x14ac:dyDescent="0.25">
      <c r="A13" s="28">
        <v>10</v>
      </c>
      <c r="B13" s="29" t="s">
        <v>230</v>
      </c>
      <c r="C13" s="29" t="s">
        <v>231</v>
      </c>
      <c r="D13" s="76">
        <v>130000</v>
      </c>
      <c r="E13" s="76"/>
      <c r="F13" s="28" t="s">
        <v>249</v>
      </c>
    </row>
    <row r="14" spans="1:6" x14ac:dyDescent="0.25">
      <c r="A14" s="28">
        <v>11</v>
      </c>
      <c r="B14" s="29" t="s">
        <v>232</v>
      </c>
      <c r="C14" s="29" t="s">
        <v>233</v>
      </c>
      <c r="D14" s="76"/>
      <c r="E14" s="76"/>
      <c r="F14" s="28" t="s">
        <v>249</v>
      </c>
    </row>
    <row r="15" spans="1:6" x14ac:dyDescent="0.25">
      <c r="A15" s="28">
        <v>12</v>
      </c>
      <c r="B15" s="29" t="s">
        <v>234</v>
      </c>
      <c r="C15" s="29" t="s">
        <v>235</v>
      </c>
      <c r="D15" s="76"/>
      <c r="E15" s="76"/>
      <c r="F15" s="28" t="s">
        <v>249</v>
      </c>
    </row>
    <row r="16" spans="1:6" x14ac:dyDescent="0.25">
      <c r="A16" s="28">
        <v>13</v>
      </c>
      <c r="B16" s="29" t="s">
        <v>236</v>
      </c>
      <c r="C16" s="29" t="s">
        <v>237</v>
      </c>
      <c r="D16" s="76"/>
      <c r="E16" s="76"/>
      <c r="F16" s="28"/>
    </row>
    <row r="17" spans="1:6" x14ac:dyDescent="0.25">
      <c r="A17" s="28">
        <v>14</v>
      </c>
      <c r="B17" s="29" t="s">
        <v>238</v>
      </c>
      <c r="C17" s="29" t="s">
        <v>239</v>
      </c>
      <c r="D17" s="76"/>
      <c r="E17" s="76"/>
      <c r="F17" s="28"/>
    </row>
    <row r="18" spans="1:6" x14ac:dyDescent="0.25">
      <c r="A18" s="28">
        <v>15</v>
      </c>
      <c r="B18" s="29" t="s">
        <v>242</v>
      </c>
      <c r="C18" s="29" t="s">
        <v>243</v>
      </c>
      <c r="D18" s="76"/>
      <c r="E18" s="76"/>
      <c r="F18" s="28"/>
    </row>
    <row r="19" spans="1:6" x14ac:dyDescent="0.25">
      <c r="A19" s="28">
        <v>16</v>
      </c>
      <c r="B19" s="29" t="s">
        <v>240</v>
      </c>
      <c r="C19" s="29" t="s">
        <v>241</v>
      </c>
      <c r="D19" s="76"/>
      <c r="E19" s="76"/>
      <c r="F19" s="28"/>
    </row>
    <row r="20" spans="1:6" x14ac:dyDescent="0.25">
      <c r="D20" s="79">
        <f>SUM(D4:D19)</f>
        <v>130000</v>
      </c>
      <c r="E20" s="79">
        <f>SUM(E4:E19)</f>
        <v>0</v>
      </c>
    </row>
  </sheetData>
  <mergeCells count="6">
    <mergeCell ref="A1:F1"/>
    <mergeCell ref="A2:A3"/>
    <mergeCell ref="B2:B3"/>
    <mergeCell ref="C2:C3"/>
    <mergeCell ref="D2:E2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3F8D-88A3-4699-AE90-F1EFBC2C3C8C}">
  <dimension ref="A1"/>
  <sheetViews>
    <sheetView workbookViewId="0">
      <selection activeCell="N11" sqref="N11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5BFA-0CBF-45F5-99A7-09E6D85F2EAA}">
  <dimension ref="A1:H21"/>
  <sheetViews>
    <sheetView workbookViewId="0">
      <selection activeCell="D12" sqref="D12"/>
    </sheetView>
  </sheetViews>
  <sheetFormatPr baseColWidth="10" defaultRowHeight="15.6" x14ac:dyDescent="0.3"/>
  <cols>
    <col min="1" max="1" width="11.5546875" style="30"/>
    <col min="2" max="2" width="65" style="30" customWidth="1"/>
    <col min="3" max="3" width="14.21875" style="30" customWidth="1"/>
    <col min="4" max="4" width="16.44140625" style="74" customWidth="1"/>
    <col min="5" max="5" width="12.6640625" style="30" customWidth="1"/>
    <col min="6" max="6" width="28" style="30" customWidth="1"/>
    <col min="7" max="16384" width="11.5546875" style="30"/>
  </cols>
  <sheetData>
    <row r="1" spans="1:6" ht="35.4" customHeight="1" x14ac:dyDescent="0.3">
      <c r="A1" s="86" t="s">
        <v>212</v>
      </c>
      <c r="B1" s="87"/>
      <c r="C1" s="87"/>
      <c r="D1" s="87"/>
      <c r="E1" s="87"/>
      <c r="F1" s="87"/>
    </row>
    <row r="2" spans="1:6" ht="37.799999999999997" customHeight="1" x14ac:dyDescent="0.3">
      <c r="A2" s="22" t="s">
        <v>0</v>
      </c>
      <c r="B2" s="22" t="s">
        <v>1</v>
      </c>
      <c r="C2" s="22" t="s">
        <v>2</v>
      </c>
      <c r="D2" s="88" t="s">
        <v>214</v>
      </c>
      <c r="E2" s="88"/>
      <c r="F2" s="22" t="s">
        <v>213</v>
      </c>
    </row>
    <row r="3" spans="1:6" ht="37.799999999999997" customHeight="1" x14ac:dyDescent="0.3">
      <c r="A3" s="22"/>
      <c r="B3" s="22"/>
      <c r="C3" s="22"/>
      <c r="D3" s="41"/>
      <c r="E3" s="22"/>
      <c r="F3" s="22"/>
    </row>
    <row r="4" spans="1:6" x14ac:dyDescent="0.3">
      <c r="A4" s="7">
        <v>1</v>
      </c>
      <c r="B4" s="8" t="s">
        <v>52</v>
      </c>
      <c r="C4" s="8">
        <v>80051891</v>
      </c>
      <c r="D4" s="42"/>
      <c r="E4" s="16"/>
      <c r="F4" s="8" t="s">
        <v>4</v>
      </c>
    </row>
    <row r="5" spans="1:6" x14ac:dyDescent="0.3">
      <c r="A5" s="7">
        <v>2</v>
      </c>
      <c r="B5" s="31" t="s">
        <v>276</v>
      </c>
      <c r="C5" s="32">
        <v>80143551</v>
      </c>
      <c r="D5" s="48"/>
      <c r="E5" s="20"/>
      <c r="F5" s="14"/>
    </row>
    <row r="6" spans="1:6" x14ac:dyDescent="0.3">
      <c r="A6" s="7">
        <v>3</v>
      </c>
      <c r="B6" s="11" t="s">
        <v>75</v>
      </c>
      <c r="C6" s="11">
        <v>80097162</v>
      </c>
      <c r="D6" s="42"/>
      <c r="E6" s="16"/>
      <c r="F6" s="11" t="s">
        <v>4</v>
      </c>
    </row>
    <row r="7" spans="1:6" x14ac:dyDescent="0.3">
      <c r="A7" s="7">
        <v>4</v>
      </c>
      <c r="B7" s="11" t="s">
        <v>277</v>
      </c>
      <c r="C7" s="11">
        <v>80143962</v>
      </c>
      <c r="D7" s="42">
        <v>165000</v>
      </c>
      <c r="E7" s="16"/>
      <c r="F7" s="11" t="s">
        <v>4</v>
      </c>
    </row>
    <row r="8" spans="1:6" x14ac:dyDescent="0.3">
      <c r="A8" s="7">
        <v>5</v>
      </c>
      <c r="B8" s="9" t="s">
        <v>100</v>
      </c>
      <c r="C8" s="9">
        <v>80094563</v>
      </c>
      <c r="D8" s="43"/>
      <c r="E8" s="17"/>
      <c r="F8" s="9" t="s">
        <v>4</v>
      </c>
    </row>
    <row r="9" spans="1:6" x14ac:dyDescent="0.3">
      <c r="A9" s="7">
        <v>6</v>
      </c>
      <c r="B9" s="8" t="s">
        <v>102</v>
      </c>
      <c r="C9" s="8">
        <v>80132263</v>
      </c>
      <c r="D9" s="42"/>
      <c r="E9" s="16"/>
      <c r="F9" s="8" t="s">
        <v>103</v>
      </c>
    </row>
    <row r="10" spans="1:6" x14ac:dyDescent="0.3">
      <c r="A10" s="7">
        <v>7</v>
      </c>
      <c r="B10" s="14" t="s">
        <v>123</v>
      </c>
      <c r="C10" s="14">
        <v>80101664</v>
      </c>
      <c r="D10" s="48"/>
      <c r="E10" s="20"/>
      <c r="F10" s="8" t="s">
        <v>4</v>
      </c>
    </row>
    <row r="11" spans="1:6" x14ac:dyDescent="0.3">
      <c r="A11" s="7">
        <v>8</v>
      </c>
      <c r="B11" s="9" t="s">
        <v>155</v>
      </c>
      <c r="C11" s="9">
        <v>80089826</v>
      </c>
      <c r="D11" s="43"/>
      <c r="E11" s="17"/>
      <c r="F11" s="9" t="s">
        <v>156</v>
      </c>
    </row>
    <row r="12" spans="1:6" x14ac:dyDescent="0.3">
      <c r="A12" s="7">
        <v>9</v>
      </c>
      <c r="B12" s="9" t="s">
        <v>160</v>
      </c>
      <c r="C12" s="9">
        <v>80150516</v>
      </c>
      <c r="D12" s="43">
        <v>165000</v>
      </c>
      <c r="E12" s="17"/>
      <c r="F12" s="9" t="s">
        <v>4</v>
      </c>
    </row>
    <row r="13" spans="1:6" x14ac:dyDescent="0.3">
      <c r="A13" s="7">
        <v>10</v>
      </c>
      <c r="B13" s="15" t="s">
        <v>161</v>
      </c>
      <c r="C13" s="15">
        <v>80090286</v>
      </c>
      <c r="D13" s="48"/>
      <c r="E13" s="20"/>
      <c r="F13" s="9" t="s">
        <v>4</v>
      </c>
    </row>
    <row r="14" spans="1:6" x14ac:dyDescent="0.3">
      <c r="A14" s="7">
        <v>11</v>
      </c>
      <c r="B14" s="11" t="s">
        <v>172</v>
      </c>
      <c r="C14" s="11">
        <v>80097537</v>
      </c>
      <c r="D14" s="42">
        <v>110000</v>
      </c>
      <c r="E14" s="16"/>
      <c r="F14" s="9" t="s">
        <v>4</v>
      </c>
    </row>
    <row r="15" spans="1:6" x14ac:dyDescent="0.3">
      <c r="A15" s="7">
        <v>12</v>
      </c>
      <c r="B15" s="9" t="s">
        <v>204</v>
      </c>
      <c r="C15" s="9">
        <v>80098159</v>
      </c>
      <c r="D15" s="43"/>
      <c r="E15" s="17"/>
      <c r="F15" s="9" t="s">
        <v>205</v>
      </c>
    </row>
    <row r="16" spans="1:6" x14ac:dyDescent="0.3">
      <c r="A16" s="7">
        <v>13</v>
      </c>
      <c r="B16" s="9" t="s">
        <v>209</v>
      </c>
      <c r="C16" s="9">
        <v>80051979</v>
      </c>
      <c r="D16" s="43"/>
      <c r="E16" s="17"/>
      <c r="F16" s="9" t="s">
        <v>210</v>
      </c>
    </row>
    <row r="17" spans="1:8" x14ac:dyDescent="0.3">
      <c r="A17" s="7">
        <v>14</v>
      </c>
      <c r="B17" s="14" t="s">
        <v>278</v>
      </c>
      <c r="C17" s="14">
        <v>80078919</v>
      </c>
      <c r="D17" s="48"/>
      <c r="E17" s="20"/>
      <c r="F17" s="14"/>
    </row>
    <row r="18" spans="1:8" x14ac:dyDescent="0.3">
      <c r="A18" s="7">
        <v>15</v>
      </c>
      <c r="B18" s="14" t="s">
        <v>279</v>
      </c>
      <c r="C18" s="14">
        <v>80059729</v>
      </c>
      <c r="D18" s="48">
        <v>165000</v>
      </c>
      <c r="E18" s="20"/>
      <c r="F18" s="14"/>
    </row>
    <row r="19" spans="1:8" x14ac:dyDescent="0.3">
      <c r="A19" s="7">
        <v>16</v>
      </c>
      <c r="B19" s="14" t="s">
        <v>280</v>
      </c>
      <c r="C19" s="14">
        <v>80044979</v>
      </c>
      <c r="D19" s="48"/>
      <c r="E19" s="20"/>
      <c r="F19" s="14"/>
    </row>
    <row r="20" spans="1:8" s="5" customFormat="1" x14ac:dyDescent="0.3">
      <c r="A20" s="7">
        <v>43</v>
      </c>
      <c r="B20" s="11" t="s">
        <v>70</v>
      </c>
      <c r="C20" s="11">
        <v>80046942</v>
      </c>
      <c r="D20" s="42"/>
      <c r="E20" s="16"/>
      <c r="F20" s="11" t="s">
        <v>4</v>
      </c>
      <c r="G20" s="62"/>
      <c r="H20" s="63"/>
    </row>
    <row r="21" spans="1:8" x14ac:dyDescent="0.3">
      <c r="D21" s="78">
        <f>SUM(D4:D19)</f>
        <v>605000</v>
      </c>
      <c r="E21" s="78">
        <f>SUM(E4:E19)</f>
        <v>0</v>
      </c>
    </row>
  </sheetData>
  <mergeCells count="2">
    <mergeCell ref="A1:F1"/>
    <mergeCell ref="D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BBEB-B2D0-4ABE-B8AF-0C077D170C70}">
  <dimension ref="A1:F18"/>
  <sheetViews>
    <sheetView workbookViewId="0">
      <selection activeCell="A18" sqref="A18:XFD18"/>
    </sheetView>
  </sheetViews>
  <sheetFormatPr baseColWidth="10" defaultColWidth="11.44140625" defaultRowHeight="14.4" x14ac:dyDescent="0.3"/>
  <cols>
    <col min="1" max="1" width="8.109375" style="5" customWidth="1"/>
    <col min="2" max="2" width="49.44140625" style="5" customWidth="1"/>
    <col min="3" max="4" width="13.5546875" style="5" customWidth="1"/>
    <col min="5" max="5" width="13.5546875" style="21" customWidth="1"/>
    <col min="6" max="6" width="36.77734375" style="5" customWidth="1"/>
    <col min="7" max="250" width="11.44140625" style="5"/>
    <col min="251" max="251" width="8.109375" style="5" customWidth="1"/>
    <col min="252" max="252" width="47" style="5" customWidth="1"/>
    <col min="253" max="253" width="12.44140625" style="5" customWidth="1"/>
    <col min="254" max="254" width="33.6640625" style="5" customWidth="1"/>
    <col min="255" max="255" width="38.88671875" style="5" customWidth="1"/>
    <col min="256" max="256" width="32.33203125" style="5" customWidth="1"/>
    <col min="257" max="257" width="9.44140625" style="5" customWidth="1"/>
    <col min="258" max="258" width="11.88671875" style="5" customWidth="1"/>
    <col min="259" max="259" width="12.6640625" style="5" customWidth="1"/>
    <col min="260" max="260" width="14.77734375" style="5" customWidth="1"/>
    <col min="261" max="261" width="13.5546875" style="5" customWidth="1"/>
    <col min="262" max="506" width="11.44140625" style="5"/>
    <col min="507" max="507" width="8.109375" style="5" customWidth="1"/>
    <col min="508" max="508" width="47" style="5" customWidth="1"/>
    <col min="509" max="509" width="12.44140625" style="5" customWidth="1"/>
    <col min="510" max="510" width="33.6640625" style="5" customWidth="1"/>
    <col min="511" max="511" width="38.88671875" style="5" customWidth="1"/>
    <col min="512" max="512" width="32.33203125" style="5" customWidth="1"/>
    <col min="513" max="513" width="9.44140625" style="5" customWidth="1"/>
    <col min="514" max="514" width="11.88671875" style="5" customWidth="1"/>
    <col min="515" max="515" width="12.6640625" style="5" customWidth="1"/>
    <col min="516" max="516" width="14.77734375" style="5" customWidth="1"/>
    <col min="517" max="517" width="13.5546875" style="5" customWidth="1"/>
    <col min="518" max="762" width="11.44140625" style="5"/>
    <col min="763" max="763" width="8.109375" style="5" customWidth="1"/>
    <col min="764" max="764" width="47" style="5" customWidth="1"/>
    <col min="765" max="765" width="12.44140625" style="5" customWidth="1"/>
    <col min="766" max="766" width="33.6640625" style="5" customWidth="1"/>
    <col min="767" max="767" width="38.88671875" style="5" customWidth="1"/>
    <col min="768" max="768" width="32.33203125" style="5" customWidth="1"/>
    <col min="769" max="769" width="9.44140625" style="5" customWidth="1"/>
    <col min="770" max="770" width="11.88671875" style="5" customWidth="1"/>
    <col min="771" max="771" width="12.6640625" style="5" customWidth="1"/>
    <col min="772" max="772" width="14.77734375" style="5" customWidth="1"/>
    <col min="773" max="773" width="13.5546875" style="5" customWidth="1"/>
    <col min="774" max="1018" width="11.44140625" style="5"/>
    <col min="1019" max="1019" width="8.109375" style="5" customWidth="1"/>
    <col min="1020" max="1020" width="47" style="5" customWidth="1"/>
    <col min="1021" max="1021" width="12.44140625" style="5" customWidth="1"/>
    <col min="1022" max="1022" width="33.6640625" style="5" customWidth="1"/>
    <col min="1023" max="1023" width="38.88671875" style="5" customWidth="1"/>
    <col min="1024" max="1024" width="32.33203125" style="5" customWidth="1"/>
    <col min="1025" max="1025" width="9.44140625" style="5" customWidth="1"/>
    <col min="1026" max="1026" width="11.88671875" style="5" customWidth="1"/>
    <col min="1027" max="1027" width="12.6640625" style="5" customWidth="1"/>
    <col min="1028" max="1028" width="14.77734375" style="5" customWidth="1"/>
    <col min="1029" max="1029" width="13.5546875" style="5" customWidth="1"/>
    <col min="1030" max="1274" width="11.44140625" style="5"/>
    <col min="1275" max="1275" width="8.109375" style="5" customWidth="1"/>
    <col min="1276" max="1276" width="47" style="5" customWidth="1"/>
    <col min="1277" max="1277" width="12.44140625" style="5" customWidth="1"/>
    <col min="1278" max="1278" width="33.6640625" style="5" customWidth="1"/>
    <col min="1279" max="1279" width="38.88671875" style="5" customWidth="1"/>
    <col min="1280" max="1280" width="32.33203125" style="5" customWidth="1"/>
    <col min="1281" max="1281" width="9.44140625" style="5" customWidth="1"/>
    <col min="1282" max="1282" width="11.88671875" style="5" customWidth="1"/>
    <col min="1283" max="1283" width="12.6640625" style="5" customWidth="1"/>
    <col min="1284" max="1284" width="14.77734375" style="5" customWidth="1"/>
    <col min="1285" max="1285" width="13.5546875" style="5" customWidth="1"/>
    <col min="1286" max="1530" width="11.44140625" style="5"/>
    <col min="1531" max="1531" width="8.109375" style="5" customWidth="1"/>
    <col min="1532" max="1532" width="47" style="5" customWidth="1"/>
    <col min="1533" max="1533" width="12.44140625" style="5" customWidth="1"/>
    <col min="1534" max="1534" width="33.6640625" style="5" customWidth="1"/>
    <col min="1535" max="1535" width="38.88671875" style="5" customWidth="1"/>
    <col min="1536" max="1536" width="32.33203125" style="5" customWidth="1"/>
    <col min="1537" max="1537" width="9.44140625" style="5" customWidth="1"/>
    <col min="1538" max="1538" width="11.88671875" style="5" customWidth="1"/>
    <col min="1539" max="1539" width="12.6640625" style="5" customWidth="1"/>
    <col min="1540" max="1540" width="14.77734375" style="5" customWidth="1"/>
    <col min="1541" max="1541" width="13.5546875" style="5" customWidth="1"/>
    <col min="1542" max="1786" width="11.44140625" style="5"/>
    <col min="1787" max="1787" width="8.109375" style="5" customWidth="1"/>
    <col min="1788" max="1788" width="47" style="5" customWidth="1"/>
    <col min="1789" max="1789" width="12.44140625" style="5" customWidth="1"/>
    <col min="1790" max="1790" width="33.6640625" style="5" customWidth="1"/>
    <col min="1791" max="1791" width="38.88671875" style="5" customWidth="1"/>
    <col min="1792" max="1792" width="32.33203125" style="5" customWidth="1"/>
    <col min="1793" max="1793" width="9.44140625" style="5" customWidth="1"/>
    <col min="1794" max="1794" width="11.88671875" style="5" customWidth="1"/>
    <col min="1795" max="1795" width="12.6640625" style="5" customWidth="1"/>
    <col min="1796" max="1796" width="14.77734375" style="5" customWidth="1"/>
    <col min="1797" max="1797" width="13.5546875" style="5" customWidth="1"/>
    <col min="1798" max="2042" width="11.44140625" style="5"/>
    <col min="2043" max="2043" width="8.109375" style="5" customWidth="1"/>
    <col min="2044" max="2044" width="47" style="5" customWidth="1"/>
    <col min="2045" max="2045" width="12.44140625" style="5" customWidth="1"/>
    <col min="2046" max="2046" width="33.6640625" style="5" customWidth="1"/>
    <col min="2047" max="2047" width="38.88671875" style="5" customWidth="1"/>
    <col min="2048" max="2048" width="32.33203125" style="5" customWidth="1"/>
    <col min="2049" max="2049" width="9.44140625" style="5" customWidth="1"/>
    <col min="2050" max="2050" width="11.88671875" style="5" customWidth="1"/>
    <col min="2051" max="2051" width="12.6640625" style="5" customWidth="1"/>
    <col min="2052" max="2052" width="14.77734375" style="5" customWidth="1"/>
    <col min="2053" max="2053" width="13.5546875" style="5" customWidth="1"/>
    <col min="2054" max="2298" width="11.44140625" style="5"/>
    <col min="2299" max="2299" width="8.109375" style="5" customWidth="1"/>
    <col min="2300" max="2300" width="47" style="5" customWidth="1"/>
    <col min="2301" max="2301" width="12.44140625" style="5" customWidth="1"/>
    <col min="2302" max="2302" width="33.6640625" style="5" customWidth="1"/>
    <col min="2303" max="2303" width="38.88671875" style="5" customWidth="1"/>
    <col min="2304" max="2304" width="32.33203125" style="5" customWidth="1"/>
    <col min="2305" max="2305" width="9.44140625" style="5" customWidth="1"/>
    <col min="2306" max="2306" width="11.88671875" style="5" customWidth="1"/>
    <col min="2307" max="2307" width="12.6640625" style="5" customWidth="1"/>
    <col min="2308" max="2308" width="14.77734375" style="5" customWidth="1"/>
    <col min="2309" max="2309" width="13.5546875" style="5" customWidth="1"/>
    <col min="2310" max="2554" width="11.44140625" style="5"/>
    <col min="2555" max="2555" width="8.109375" style="5" customWidth="1"/>
    <col min="2556" max="2556" width="47" style="5" customWidth="1"/>
    <col min="2557" max="2557" width="12.44140625" style="5" customWidth="1"/>
    <col min="2558" max="2558" width="33.6640625" style="5" customWidth="1"/>
    <col min="2559" max="2559" width="38.88671875" style="5" customWidth="1"/>
    <col min="2560" max="2560" width="32.33203125" style="5" customWidth="1"/>
    <col min="2561" max="2561" width="9.44140625" style="5" customWidth="1"/>
    <col min="2562" max="2562" width="11.88671875" style="5" customWidth="1"/>
    <col min="2563" max="2563" width="12.6640625" style="5" customWidth="1"/>
    <col min="2564" max="2564" width="14.77734375" style="5" customWidth="1"/>
    <col min="2565" max="2565" width="13.5546875" style="5" customWidth="1"/>
    <col min="2566" max="2810" width="11.44140625" style="5"/>
    <col min="2811" max="2811" width="8.109375" style="5" customWidth="1"/>
    <col min="2812" max="2812" width="47" style="5" customWidth="1"/>
    <col min="2813" max="2813" width="12.44140625" style="5" customWidth="1"/>
    <col min="2814" max="2814" width="33.6640625" style="5" customWidth="1"/>
    <col min="2815" max="2815" width="38.88671875" style="5" customWidth="1"/>
    <col min="2816" max="2816" width="32.33203125" style="5" customWidth="1"/>
    <col min="2817" max="2817" width="9.44140625" style="5" customWidth="1"/>
    <col min="2818" max="2818" width="11.88671875" style="5" customWidth="1"/>
    <col min="2819" max="2819" width="12.6640625" style="5" customWidth="1"/>
    <col min="2820" max="2820" width="14.77734375" style="5" customWidth="1"/>
    <col min="2821" max="2821" width="13.5546875" style="5" customWidth="1"/>
    <col min="2822" max="3066" width="11.44140625" style="5"/>
    <col min="3067" max="3067" width="8.109375" style="5" customWidth="1"/>
    <col min="3068" max="3068" width="47" style="5" customWidth="1"/>
    <col min="3069" max="3069" width="12.44140625" style="5" customWidth="1"/>
    <col min="3070" max="3070" width="33.6640625" style="5" customWidth="1"/>
    <col min="3071" max="3071" width="38.88671875" style="5" customWidth="1"/>
    <col min="3072" max="3072" width="32.33203125" style="5" customWidth="1"/>
    <col min="3073" max="3073" width="9.44140625" style="5" customWidth="1"/>
    <col min="3074" max="3074" width="11.88671875" style="5" customWidth="1"/>
    <col min="3075" max="3075" width="12.6640625" style="5" customWidth="1"/>
    <col min="3076" max="3076" width="14.77734375" style="5" customWidth="1"/>
    <col min="3077" max="3077" width="13.5546875" style="5" customWidth="1"/>
    <col min="3078" max="3322" width="11.44140625" style="5"/>
    <col min="3323" max="3323" width="8.109375" style="5" customWidth="1"/>
    <col min="3324" max="3324" width="47" style="5" customWidth="1"/>
    <col min="3325" max="3325" width="12.44140625" style="5" customWidth="1"/>
    <col min="3326" max="3326" width="33.6640625" style="5" customWidth="1"/>
    <col min="3327" max="3327" width="38.88671875" style="5" customWidth="1"/>
    <col min="3328" max="3328" width="32.33203125" style="5" customWidth="1"/>
    <col min="3329" max="3329" width="9.44140625" style="5" customWidth="1"/>
    <col min="3330" max="3330" width="11.88671875" style="5" customWidth="1"/>
    <col min="3331" max="3331" width="12.6640625" style="5" customWidth="1"/>
    <col min="3332" max="3332" width="14.77734375" style="5" customWidth="1"/>
    <col min="3333" max="3333" width="13.5546875" style="5" customWidth="1"/>
    <col min="3334" max="3578" width="11.44140625" style="5"/>
    <col min="3579" max="3579" width="8.109375" style="5" customWidth="1"/>
    <col min="3580" max="3580" width="47" style="5" customWidth="1"/>
    <col min="3581" max="3581" width="12.44140625" style="5" customWidth="1"/>
    <col min="3582" max="3582" width="33.6640625" style="5" customWidth="1"/>
    <col min="3583" max="3583" width="38.88671875" style="5" customWidth="1"/>
    <col min="3584" max="3584" width="32.33203125" style="5" customWidth="1"/>
    <col min="3585" max="3585" width="9.44140625" style="5" customWidth="1"/>
    <col min="3586" max="3586" width="11.88671875" style="5" customWidth="1"/>
    <col min="3587" max="3587" width="12.6640625" style="5" customWidth="1"/>
    <col min="3588" max="3588" width="14.77734375" style="5" customWidth="1"/>
    <col min="3589" max="3589" width="13.5546875" style="5" customWidth="1"/>
    <col min="3590" max="3834" width="11.44140625" style="5"/>
    <col min="3835" max="3835" width="8.109375" style="5" customWidth="1"/>
    <col min="3836" max="3836" width="47" style="5" customWidth="1"/>
    <col min="3837" max="3837" width="12.44140625" style="5" customWidth="1"/>
    <col min="3838" max="3838" width="33.6640625" style="5" customWidth="1"/>
    <col min="3839" max="3839" width="38.88671875" style="5" customWidth="1"/>
    <col min="3840" max="3840" width="32.33203125" style="5" customWidth="1"/>
    <col min="3841" max="3841" width="9.44140625" style="5" customWidth="1"/>
    <col min="3842" max="3842" width="11.88671875" style="5" customWidth="1"/>
    <col min="3843" max="3843" width="12.6640625" style="5" customWidth="1"/>
    <col min="3844" max="3844" width="14.77734375" style="5" customWidth="1"/>
    <col min="3845" max="3845" width="13.5546875" style="5" customWidth="1"/>
    <col min="3846" max="4090" width="11.44140625" style="5"/>
    <col min="4091" max="4091" width="8.109375" style="5" customWidth="1"/>
    <col min="4092" max="4092" width="47" style="5" customWidth="1"/>
    <col min="4093" max="4093" width="12.44140625" style="5" customWidth="1"/>
    <col min="4094" max="4094" width="33.6640625" style="5" customWidth="1"/>
    <col min="4095" max="4095" width="38.88671875" style="5" customWidth="1"/>
    <col min="4096" max="4096" width="32.33203125" style="5" customWidth="1"/>
    <col min="4097" max="4097" width="9.44140625" style="5" customWidth="1"/>
    <col min="4098" max="4098" width="11.88671875" style="5" customWidth="1"/>
    <col min="4099" max="4099" width="12.6640625" style="5" customWidth="1"/>
    <col min="4100" max="4100" width="14.77734375" style="5" customWidth="1"/>
    <col min="4101" max="4101" width="13.5546875" style="5" customWidth="1"/>
    <col min="4102" max="4346" width="11.44140625" style="5"/>
    <col min="4347" max="4347" width="8.109375" style="5" customWidth="1"/>
    <col min="4348" max="4348" width="47" style="5" customWidth="1"/>
    <col min="4349" max="4349" width="12.44140625" style="5" customWidth="1"/>
    <col min="4350" max="4350" width="33.6640625" style="5" customWidth="1"/>
    <col min="4351" max="4351" width="38.88671875" style="5" customWidth="1"/>
    <col min="4352" max="4352" width="32.33203125" style="5" customWidth="1"/>
    <col min="4353" max="4353" width="9.44140625" style="5" customWidth="1"/>
    <col min="4354" max="4354" width="11.88671875" style="5" customWidth="1"/>
    <col min="4355" max="4355" width="12.6640625" style="5" customWidth="1"/>
    <col min="4356" max="4356" width="14.77734375" style="5" customWidth="1"/>
    <col min="4357" max="4357" width="13.5546875" style="5" customWidth="1"/>
    <col min="4358" max="4602" width="11.44140625" style="5"/>
    <col min="4603" max="4603" width="8.109375" style="5" customWidth="1"/>
    <col min="4604" max="4604" width="47" style="5" customWidth="1"/>
    <col min="4605" max="4605" width="12.44140625" style="5" customWidth="1"/>
    <col min="4606" max="4606" width="33.6640625" style="5" customWidth="1"/>
    <col min="4607" max="4607" width="38.88671875" style="5" customWidth="1"/>
    <col min="4608" max="4608" width="32.33203125" style="5" customWidth="1"/>
    <col min="4609" max="4609" width="9.44140625" style="5" customWidth="1"/>
    <col min="4610" max="4610" width="11.88671875" style="5" customWidth="1"/>
    <col min="4611" max="4611" width="12.6640625" style="5" customWidth="1"/>
    <col min="4612" max="4612" width="14.77734375" style="5" customWidth="1"/>
    <col min="4613" max="4613" width="13.5546875" style="5" customWidth="1"/>
    <col min="4614" max="4858" width="11.44140625" style="5"/>
    <col min="4859" max="4859" width="8.109375" style="5" customWidth="1"/>
    <col min="4860" max="4860" width="47" style="5" customWidth="1"/>
    <col min="4861" max="4861" width="12.44140625" style="5" customWidth="1"/>
    <col min="4862" max="4862" width="33.6640625" style="5" customWidth="1"/>
    <col min="4863" max="4863" width="38.88671875" style="5" customWidth="1"/>
    <col min="4864" max="4864" width="32.33203125" style="5" customWidth="1"/>
    <col min="4865" max="4865" width="9.44140625" style="5" customWidth="1"/>
    <col min="4866" max="4866" width="11.88671875" style="5" customWidth="1"/>
    <col min="4867" max="4867" width="12.6640625" style="5" customWidth="1"/>
    <col min="4868" max="4868" width="14.77734375" style="5" customWidth="1"/>
    <col min="4869" max="4869" width="13.5546875" style="5" customWidth="1"/>
    <col min="4870" max="5114" width="11.44140625" style="5"/>
    <col min="5115" max="5115" width="8.109375" style="5" customWidth="1"/>
    <col min="5116" max="5116" width="47" style="5" customWidth="1"/>
    <col min="5117" max="5117" width="12.44140625" style="5" customWidth="1"/>
    <col min="5118" max="5118" width="33.6640625" style="5" customWidth="1"/>
    <col min="5119" max="5119" width="38.88671875" style="5" customWidth="1"/>
    <col min="5120" max="5120" width="32.33203125" style="5" customWidth="1"/>
    <col min="5121" max="5121" width="9.44140625" style="5" customWidth="1"/>
    <col min="5122" max="5122" width="11.88671875" style="5" customWidth="1"/>
    <col min="5123" max="5123" width="12.6640625" style="5" customWidth="1"/>
    <col min="5124" max="5124" width="14.77734375" style="5" customWidth="1"/>
    <col min="5125" max="5125" width="13.5546875" style="5" customWidth="1"/>
    <col min="5126" max="5370" width="11.44140625" style="5"/>
    <col min="5371" max="5371" width="8.109375" style="5" customWidth="1"/>
    <col min="5372" max="5372" width="47" style="5" customWidth="1"/>
    <col min="5373" max="5373" width="12.44140625" style="5" customWidth="1"/>
    <col min="5374" max="5374" width="33.6640625" style="5" customWidth="1"/>
    <col min="5375" max="5375" width="38.88671875" style="5" customWidth="1"/>
    <col min="5376" max="5376" width="32.33203125" style="5" customWidth="1"/>
    <col min="5377" max="5377" width="9.44140625" style="5" customWidth="1"/>
    <col min="5378" max="5378" width="11.88671875" style="5" customWidth="1"/>
    <col min="5379" max="5379" width="12.6640625" style="5" customWidth="1"/>
    <col min="5380" max="5380" width="14.77734375" style="5" customWidth="1"/>
    <col min="5381" max="5381" width="13.5546875" style="5" customWidth="1"/>
    <col min="5382" max="5626" width="11.44140625" style="5"/>
    <col min="5627" max="5627" width="8.109375" style="5" customWidth="1"/>
    <col min="5628" max="5628" width="47" style="5" customWidth="1"/>
    <col min="5629" max="5629" width="12.44140625" style="5" customWidth="1"/>
    <col min="5630" max="5630" width="33.6640625" style="5" customWidth="1"/>
    <col min="5631" max="5631" width="38.88671875" style="5" customWidth="1"/>
    <col min="5632" max="5632" width="32.33203125" style="5" customWidth="1"/>
    <col min="5633" max="5633" width="9.44140625" style="5" customWidth="1"/>
    <col min="5634" max="5634" width="11.88671875" style="5" customWidth="1"/>
    <col min="5635" max="5635" width="12.6640625" style="5" customWidth="1"/>
    <col min="5636" max="5636" width="14.77734375" style="5" customWidth="1"/>
    <col min="5637" max="5637" width="13.5546875" style="5" customWidth="1"/>
    <col min="5638" max="5882" width="11.44140625" style="5"/>
    <col min="5883" max="5883" width="8.109375" style="5" customWidth="1"/>
    <col min="5884" max="5884" width="47" style="5" customWidth="1"/>
    <col min="5885" max="5885" width="12.44140625" style="5" customWidth="1"/>
    <col min="5886" max="5886" width="33.6640625" style="5" customWidth="1"/>
    <col min="5887" max="5887" width="38.88671875" style="5" customWidth="1"/>
    <col min="5888" max="5888" width="32.33203125" style="5" customWidth="1"/>
    <col min="5889" max="5889" width="9.44140625" style="5" customWidth="1"/>
    <col min="5890" max="5890" width="11.88671875" style="5" customWidth="1"/>
    <col min="5891" max="5891" width="12.6640625" style="5" customWidth="1"/>
    <col min="5892" max="5892" width="14.77734375" style="5" customWidth="1"/>
    <col min="5893" max="5893" width="13.5546875" style="5" customWidth="1"/>
    <col min="5894" max="6138" width="11.44140625" style="5"/>
    <col min="6139" max="6139" width="8.109375" style="5" customWidth="1"/>
    <col min="6140" max="6140" width="47" style="5" customWidth="1"/>
    <col min="6141" max="6141" width="12.44140625" style="5" customWidth="1"/>
    <col min="6142" max="6142" width="33.6640625" style="5" customWidth="1"/>
    <col min="6143" max="6143" width="38.88671875" style="5" customWidth="1"/>
    <col min="6144" max="6144" width="32.33203125" style="5" customWidth="1"/>
    <col min="6145" max="6145" width="9.44140625" style="5" customWidth="1"/>
    <col min="6146" max="6146" width="11.88671875" style="5" customWidth="1"/>
    <col min="6147" max="6147" width="12.6640625" style="5" customWidth="1"/>
    <col min="6148" max="6148" width="14.77734375" style="5" customWidth="1"/>
    <col min="6149" max="6149" width="13.5546875" style="5" customWidth="1"/>
    <col min="6150" max="6394" width="11.44140625" style="5"/>
    <col min="6395" max="6395" width="8.109375" style="5" customWidth="1"/>
    <col min="6396" max="6396" width="47" style="5" customWidth="1"/>
    <col min="6397" max="6397" width="12.44140625" style="5" customWidth="1"/>
    <col min="6398" max="6398" width="33.6640625" style="5" customWidth="1"/>
    <col min="6399" max="6399" width="38.88671875" style="5" customWidth="1"/>
    <col min="6400" max="6400" width="32.33203125" style="5" customWidth="1"/>
    <col min="6401" max="6401" width="9.44140625" style="5" customWidth="1"/>
    <col min="6402" max="6402" width="11.88671875" style="5" customWidth="1"/>
    <col min="6403" max="6403" width="12.6640625" style="5" customWidth="1"/>
    <col min="6404" max="6404" width="14.77734375" style="5" customWidth="1"/>
    <col min="6405" max="6405" width="13.5546875" style="5" customWidth="1"/>
    <col min="6406" max="6650" width="11.44140625" style="5"/>
    <col min="6651" max="6651" width="8.109375" style="5" customWidth="1"/>
    <col min="6652" max="6652" width="47" style="5" customWidth="1"/>
    <col min="6653" max="6653" width="12.44140625" style="5" customWidth="1"/>
    <col min="6654" max="6654" width="33.6640625" style="5" customWidth="1"/>
    <col min="6655" max="6655" width="38.88671875" style="5" customWidth="1"/>
    <col min="6656" max="6656" width="32.33203125" style="5" customWidth="1"/>
    <col min="6657" max="6657" width="9.44140625" style="5" customWidth="1"/>
    <col min="6658" max="6658" width="11.88671875" style="5" customWidth="1"/>
    <col min="6659" max="6659" width="12.6640625" style="5" customWidth="1"/>
    <col min="6660" max="6660" width="14.77734375" style="5" customWidth="1"/>
    <col min="6661" max="6661" width="13.5546875" style="5" customWidth="1"/>
    <col min="6662" max="6906" width="11.44140625" style="5"/>
    <col min="6907" max="6907" width="8.109375" style="5" customWidth="1"/>
    <col min="6908" max="6908" width="47" style="5" customWidth="1"/>
    <col min="6909" max="6909" width="12.44140625" style="5" customWidth="1"/>
    <col min="6910" max="6910" width="33.6640625" style="5" customWidth="1"/>
    <col min="6911" max="6911" width="38.88671875" style="5" customWidth="1"/>
    <col min="6912" max="6912" width="32.33203125" style="5" customWidth="1"/>
    <col min="6913" max="6913" width="9.44140625" style="5" customWidth="1"/>
    <col min="6914" max="6914" width="11.88671875" style="5" customWidth="1"/>
    <col min="6915" max="6915" width="12.6640625" style="5" customWidth="1"/>
    <col min="6916" max="6916" width="14.77734375" style="5" customWidth="1"/>
    <col min="6917" max="6917" width="13.5546875" style="5" customWidth="1"/>
    <col min="6918" max="7162" width="11.44140625" style="5"/>
    <col min="7163" max="7163" width="8.109375" style="5" customWidth="1"/>
    <col min="7164" max="7164" width="47" style="5" customWidth="1"/>
    <col min="7165" max="7165" width="12.44140625" style="5" customWidth="1"/>
    <col min="7166" max="7166" width="33.6640625" style="5" customWidth="1"/>
    <col min="7167" max="7167" width="38.88671875" style="5" customWidth="1"/>
    <col min="7168" max="7168" width="32.33203125" style="5" customWidth="1"/>
    <col min="7169" max="7169" width="9.44140625" style="5" customWidth="1"/>
    <col min="7170" max="7170" width="11.88671875" style="5" customWidth="1"/>
    <col min="7171" max="7171" width="12.6640625" style="5" customWidth="1"/>
    <col min="7172" max="7172" width="14.77734375" style="5" customWidth="1"/>
    <col min="7173" max="7173" width="13.5546875" style="5" customWidth="1"/>
    <col min="7174" max="7418" width="11.44140625" style="5"/>
    <col min="7419" max="7419" width="8.109375" style="5" customWidth="1"/>
    <col min="7420" max="7420" width="47" style="5" customWidth="1"/>
    <col min="7421" max="7421" width="12.44140625" style="5" customWidth="1"/>
    <col min="7422" max="7422" width="33.6640625" style="5" customWidth="1"/>
    <col min="7423" max="7423" width="38.88671875" style="5" customWidth="1"/>
    <col min="7424" max="7424" width="32.33203125" style="5" customWidth="1"/>
    <col min="7425" max="7425" width="9.44140625" style="5" customWidth="1"/>
    <col min="7426" max="7426" width="11.88671875" style="5" customWidth="1"/>
    <col min="7427" max="7427" width="12.6640625" style="5" customWidth="1"/>
    <col min="7428" max="7428" width="14.77734375" style="5" customWidth="1"/>
    <col min="7429" max="7429" width="13.5546875" style="5" customWidth="1"/>
    <col min="7430" max="7674" width="11.44140625" style="5"/>
    <col min="7675" max="7675" width="8.109375" style="5" customWidth="1"/>
    <col min="7676" max="7676" width="47" style="5" customWidth="1"/>
    <col min="7677" max="7677" width="12.44140625" style="5" customWidth="1"/>
    <col min="7678" max="7678" width="33.6640625" style="5" customWidth="1"/>
    <col min="7679" max="7679" width="38.88671875" style="5" customWidth="1"/>
    <col min="7680" max="7680" width="32.33203125" style="5" customWidth="1"/>
    <col min="7681" max="7681" width="9.44140625" style="5" customWidth="1"/>
    <col min="7682" max="7682" width="11.88671875" style="5" customWidth="1"/>
    <col min="7683" max="7683" width="12.6640625" style="5" customWidth="1"/>
    <col min="7684" max="7684" width="14.77734375" style="5" customWidth="1"/>
    <col min="7685" max="7685" width="13.5546875" style="5" customWidth="1"/>
    <col min="7686" max="7930" width="11.44140625" style="5"/>
    <col min="7931" max="7931" width="8.109375" style="5" customWidth="1"/>
    <col min="7932" max="7932" width="47" style="5" customWidth="1"/>
    <col min="7933" max="7933" width="12.44140625" style="5" customWidth="1"/>
    <col min="7934" max="7934" width="33.6640625" style="5" customWidth="1"/>
    <col min="7935" max="7935" width="38.88671875" style="5" customWidth="1"/>
    <col min="7936" max="7936" width="32.33203125" style="5" customWidth="1"/>
    <col min="7937" max="7937" width="9.44140625" style="5" customWidth="1"/>
    <col min="7938" max="7938" width="11.88671875" style="5" customWidth="1"/>
    <col min="7939" max="7939" width="12.6640625" style="5" customWidth="1"/>
    <col min="7940" max="7940" width="14.77734375" style="5" customWidth="1"/>
    <col min="7941" max="7941" width="13.5546875" style="5" customWidth="1"/>
    <col min="7942" max="8186" width="11.44140625" style="5"/>
    <col min="8187" max="8187" width="8.109375" style="5" customWidth="1"/>
    <col min="8188" max="8188" width="47" style="5" customWidth="1"/>
    <col min="8189" max="8189" width="12.44140625" style="5" customWidth="1"/>
    <col min="8190" max="8190" width="33.6640625" style="5" customWidth="1"/>
    <col min="8191" max="8191" width="38.88671875" style="5" customWidth="1"/>
    <col min="8192" max="8192" width="32.33203125" style="5" customWidth="1"/>
    <col min="8193" max="8193" width="9.44140625" style="5" customWidth="1"/>
    <col min="8194" max="8194" width="11.88671875" style="5" customWidth="1"/>
    <col min="8195" max="8195" width="12.6640625" style="5" customWidth="1"/>
    <col min="8196" max="8196" width="14.77734375" style="5" customWidth="1"/>
    <col min="8197" max="8197" width="13.5546875" style="5" customWidth="1"/>
    <col min="8198" max="8442" width="11.44140625" style="5"/>
    <col min="8443" max="8443" width="8.109375" style="5" customWidth="1"/>
    <col min="8444" max="8444" width="47" style="5" customWidth="1"/>
    <col min="8445" max="8445" width="12.44140625" style="5" customWidth="1"/>
    <col min="8446" max="8446" width="33.6640625" style="5" customWidth="1"/>
    <col min="8447" max="8447" width="38.88671875" style="5" customWidth="1"/>
    <col min="8448" max="8448" width="32.33203125" style="5" customWidth="1"/>
    <col min="8449" max="8449" width="9.44140625" style="5" customWidth="1"/>
    <col min="8450" max="8450" width="11.88671875" style="5" customWidth="1"/>
    <col min="8451" max="8451" width="12.6640625" style="5" customWidth="1"/>
    <col min="8452" max="8452" width="14.77734375" style="5" customWidth="1"/>
    <col min="8453" max="8453" width="13.5546875" style="5" customWidth="1"/>
    <col min="8454" max="8698" width="11.44140625" style="5"/>
    <col min="8699" max="8699" width="8.109375" style="5" customWidth="1"/>
    <col min="8700" max="8700" width="47" style="5" customWidth="1"/>
    <col min="8701" max="8701" width="12.44140625" style="5" customWidth="1"/>
    <col min="8702" max="8702" width="33.6640625" style="5" customWidth="1"/>
    <col min="8703" max="8703" width="38.88671875" style="5" customWidth="1"/>
    <col min="8704" max="8704" width="32.33203125" style="5" customWidth="1"/>
    <col min="8705" max="8705" width="9.44140625" style="5" customWidth="1"/>
    <col min="8706" max="8706" width="11.88671875" style="5" customWidth="1"/>
    <col min="8707" max="8707" width="12.6640625" style="5" customWidth="1"/>
    <col min="8708" max="8708" width="14.77734375" style="5" customWidth="1"/>
    <col min="8709" max="8709" width="13.5546875" style="5" customWidth="1"/>
    <col min="8710" max="8954" width="11.44140625" style="5"/>
    <col min="8955" max="8955" width="8.109375" style="5" customWidth="1"/>
    <col min="8956" max="8956" width="47" style="5" customWidth="1"/>
    <col min="8957" max="8957" width="12.44140625" style="5" customWidth="1"/>
    <col min="8958" max="8958" width="33.6640625" style="5" customWidth="1"/>
    <col min="8959" max="8959" width="38.88671875" style="5" customWidth="1"/>
    <col min="8960" max="8960" width="32.33203125" style="5" customWidth="1"/>
    <col min="8961" max="8961" width="9.44140625" style="5" customWidth="1"/>
    <col min="8962" max="8962" width="11.88671875" style="5" customWidth="1"/>
    <col min="8963" max="8963" width="12.6640625" style="5" customWidth="1"/>
    <col min="8964" max="8964" width="14.77734375" style="5" customWidth="1"/>
    <col min="8965" max="8965" width="13.5546875" style="5" customWidth="1"/>
    <col min="8966" max="9210" width="11.44140625" style="5"/>
    <col min="9211" max="9211" width="8.109375" style="5" customWidth="1"/>
    <col min="9212" max="9212" width="47" style="5" customWidth="1"/>
    <col min="9213" max="9213" width="12.44140625" style="5" customWidth="1"/>
    <col min="9214" max="9214" width="33.6640625" style="5" customWidth="1"/>
    <col min="9215" max="9215" width="38.88671875" style="5" customWidth="1"/>
    <col min="9216" max="9216" width="32.33203125" style="5" customWidth="1"/>
    <col min="9217" max="9217" width="9.44140625" style="5" customWidth="1"/>
    <col min="9218" max="9218" width="11.88671875" style="5" customWidth="1"/>
    <col min="9219" max="9219" width="12.6640625" style="5" customWidth="1"/>
    <col min="9220" max="9220" width="14.77734375" style="5" customWidth="1"/>
    <col min="9221" max="9221" width="13.5546875" style="5" customWidth="1"/>
    <col min="9222" max="9466" width="11.44140625" style="5"/>
    <col min="9467" max="9467" width="8.109375" style="5" customWidth="1"/>
    <col min="9468" max="9468" width="47" style="5" customWidth="1"/>
    <col min="9469" max="9469" width="12.44140625" style="5" customWidth="1"/>
    <col min="9470" max="9470" width="33.6640625" style="5" customWidth="1"/>
    <col min="9471" max="9471" width="38.88671875" style="5" customWidth="1"/>
    <col min="9472" max="9472" width="32.33203125" style="5" customWidth="1"/>
    <col min="9473" max="9473" width="9.44140625" style="5" customWidth="1"/>
    <col min="9474" max="9474" width="11.88671875" style="5" customWidth="1"/>
    <col min="9475" max="9475" width="12.6640625" style="5" customWidth="1"/>
    <col min="9476" max="9476" width="14.77734375" style="5" customWidth="1"/>
    <col min="9477" max="9477" width="13.5546875" style="5" customWidth="1"/>
    <col min="9478" max="9722" width="11.44140625" style="5"/>
    <col min="9723" max="9723" width="8.109375" style="5" customWidth="1"/>
    <col min="9724" max="9724" width="47" style="5" customWidth="1"/>
    <col min="9725" max="9725" width="12.44140625" style="5" customWidth="1"/>
    <col min="9726" max="9726" width="33.6640625" style="5" customWidth="1"/>
    <col min="9727" max="9727" width="38.88671875" style="5" customWidth="1"/>
    <col min="9728" max="9728" width="32.33203125" style="5" customWidth="1"/>
    <col min="9729" max="9729" width="9.44140625" style="5" customWidth="1"/>
    <col min="9730" max="9730" width="11.88671875" style="5" customWidth="1"/>
    <col min="9731" max="9731" width="12.6640625" style="5" customWidth="1"/>
    <col min="9732" max="9732" width="14.77734375" style="5" customWidth="1"/>
    <col min="9733" max="9733" width="13.5546875" style="5" customWidth="1"/>
    <col min="9734" max="9978" width="11.44140625" style="5"/>
    <col min="9979" max="9979" width="8.109375" style="5" customWidth="1"/>
    <col min="9980" max="9980" width="47" style="5" customWidth="1"/>
    <col min="9981" max="9981" width="12.44140625" style="5" customWidth="1"/>
    <col min="9982" max="9982" width="33.6640625" style="5" customWidth="1"/>
    <col min="9983" max="9983" width="38.88671875" style="5" customWidth="1"/>
    <col min="9984" max="9984" width="32.33203125" style="5" customWidth="1"/>
    <col min="9985" max="9985" width="9.44140625" style="5" customWidth="1"/>
    <col min="9986" max="9986" width="11.88671875" style="5" customWidth="1"/>
    <col min="9987" max="9987" width="12.6640625" style="5" customWidth="1"/>
    <col min="9988" max="9988" width="14.77734375" style="5" customWidth="1"/>
    <col min="9989" max="9989" width="13.5546875" style="5" customWidth="1"/>
    <col min="9990" max="10234" width="11.44140625" style="5"/>
    <col min="10235" max="10235" width="8.109375" style="5" customWidth="1"/>
    <col min="10236" max="10236" width="47" style="5" customWidth="1"/>
    <col min="10237" max="10237" width="12.44140625" style="5" customWidth="1"/>
    <col min="10238" max="10238" width="33.6640625" style="5" customWidth="1"/>
    <col min="10239" max="10239" width="38.88671875" style="5" customWidth="1"/>
    <col min="10240" max="10240" width="32.33203125" style="5" customWidth="1"/>
    <col min="10241" max="10241" width="9.44140625" style="5" customWidth="1"/>
    <col min="10242" max="10242" width="11.88671875" style="5" customWidth="1"/>
    <col min="10243" max="10243" width="12.6640625" style="5" customWidth="1"/>
    <col min="10244" max="10244" width="14.77734375" style="5" customWidth="1"/>
    <col min="10245" max="10245" width="13.5546875" style="5" customWidth="1"/>
    <col min="10246" max="10490" width="11.44140625" style="5"/>
    <col min="10491" max="10491" width="8.109375" style="5" customWidth="1"/>
    <col min="10492" max="10492" width="47" style="5" customWidth="1"/>
    <col min="10493" max="10493" width="12.44140625" style="5" customWidth="1"/>
    <col min="10494" max="10494" width="33.6640625" style="5" customWidth="1"/>
    <col min="10495" max="10495" width="38.88671875" style="5" customWidth="1"/>
    <col min="10496" max="10496" width="32.33203125" style="5" customWidth="1"/>
    <col min="10497" max="10497" width="9.44140625" style="5" customWidth="1"/>
    <col min="10498" max="10498" width="11.88671875" style="5" customWidth="1"/>
    <col min="10499" max="10499" width="12.6640625" style="5" customWidth="1"/>
    <col min="10500" max="10500" width="14.77734375" style="5" customWidth="1"/>
    <col min="10501" max="10501" width="13.5546875" style="5" customWidth="1"/>
    <col min="10502" max="10746" width="11.44140625" style="5"/>
    <col min="10747" max="10747" width="8.109375" style="5" customWidth="1"/>
    <col min="10748" max="10748" width="47" style="5" customWidth="1"/>
    <col min="10749" max="10749" width="12.44140625" style="5" customWidth="1"/>
    <col min="10750" max="10750" width="33.6640625" style="5" customWidth="1"/>
    <col min="10751" max="10751" width="38.88671875" style="5" customWidth="1"/>
    <col min="10752" max="10752" width="32.33203125" style="5" customWidth="1"/>
    <col min="10753" max="10753" width="9.44140625" style="5" customWidth="1"/>
    <col min="10754" max="10754" width="11.88671875" style="5" customWidth="1"/>
    <col min="10755" max="10755" width="12.6640625" style="5" customWidth="1"/>
    <col min="10756" max="10756" width="14.77734375" style="5" customWidth="1"/>
    <col min="10757" max="10757" width="13.5546875" style="5" customWidth="1"/>
    <col min="10758" max="11002" width="11.44140625" style="5"/>
    <col min="11003" max="11003" width="8.109375" style="5" customWidth="1"/>
    <col min="11004" max="11004" width="47" style="5" customWidth="1"/>
    <col min="11005" max="11005" width="12.44140625" style="5" customWidth="1"/>
    <col min="11006" max="11006" width="33.6640625" style="5" customWidth="1"/>
    <col min="11007" max="11007" width="38.88671875" style="5" customWidth="1"/>
    <col min="11008" max="11008" width="32.33203125" style="5" customWidth="1"/>
    <col min="11009" max="11009" width="9.44140625" style="5" customWidth="1"/>
    <col min="11010" max="11010" width="11.88671875" style="5" customWidth="1"/>
    <col min="11011" max="11011" width="12.6640625" style="5" customWidth="1"/>
    <col min="11012" max="11012" width="14.77734375" style="5" customWidth="1"/>
    <col min="11013" max="11013" width="13.5546875" style="5" customWidth="1"/>
    <col min="11014" max="11258" width="11.44140625" style="5"/>
    <col min="11259" max="11259" width="8.109375" style="5" customWidth="1"/>
    <col min="11260" max="11260" width="47" style="5" customWidth="1"/>
    <col min="11261" max="11261" width="12.44140625" style="5" customWidth="1"/>
    <col min="11262" max="11262" width="33.6640625" style="5" customWidth="1"/>
    <col min="11263" max="11263" width="38.88671875" style="5" customWidth="1"/>
    <col min="11264" max="11264" width="32.33203125" style="5" customWidth="1"/>
    <col min="11265" max="11265" width="9.44140625" style="5" customWidth="1"/>
    <col min="11266" max="11266" width="11.88671875" style="5" customWidth="1"/>
    <col min="11267" max="11267" width="12.6640625" style="5" customWidth="1"/>
    <col min="11268" max="11268" width="14.77734375" style="5" customWidth="1"/>
    <col min="11269" max="11269" width="13.5546875" style="5" customWidth="1"/>
    <col min="11270" max="11514" width="11.44140625" style="5"/>
    <col min="11515" max="11515" width="8.109375" style="5" customWidth="1"/>
    <col min="11516" max="11516" width="47" style="5" customWidth="1"/>
    <col min="11517" max="11517" width="12.44140625" style="5" customWidth="1"/>
    <col min="11518" max="11518" width="33.6640625" style="5" customWidth="1"/>
    <col min="11519" max="11519" width="38.88671875" style="5" customWidth="1"/>
    <col min="11520" max="11520" width="32.33203125" style="5" customWidth="1"/>
    <col min="11521" max="11521" width="9.44140625" style="5" customWidth="1"/>
    <col min="11522" max="11522" width="11.88671875" style="5" customWidth="1"/>
    <col min="11523" max="11523" width="12.6640625" style="5" customWidth="1"/>
    <col min="11524" max="11524" width="14.77734375" style="5" customWidth="1"/>
    <col min="11525" max="11525" width="13.5546875" style="5" customWidth="1"/>
    <col min="11526" max="11770" width="11.44140625" style="5"/>
    <col min="11771" max="11771" width="8.109375" style="5" customWidth="1"/>
    <col min="11772" max="11772" width="47" style="5" customWidth="1"/>
    <col min="11773" max="11773" width="12.44140625" style="5" customWidth="1"/>
    <col min="11774" max="11774" width="33.6640625" style="5" customWidth="1"/>
    <col min="11775" max="11775" width="38.88671875" style="5" customWidth="1"/>
    <col min="11776" max="11776" width="32.33203125" style="5" customWidth="1"/>
    <col min="11777" max="11777" width="9.44140625" style="5" customWidth="1"/>
    <col min="11778" max="11778" width="11.88671875" style="5" customWidth="1"/>
    <col min="11779" max="11779" width="12.6640625" style="5" customWidth="1"/>
    <col min="11780" max="11780" width="14.77734375" style="5" customWidth="1"/>
    <col min="11781" max="11781" width="13.5546875" style="5" customWidth="1"/>
    <col min="11782" max="12026" width="11.44140625" style="5"/>
    <col min="12027" max="12027" width="8.109375" style="5" customWidth="1"/>
    <col min="12028" max="12028" width="47" style="5" customWidth="1"/>
    <col min="12029" max="12029" width="12.44140625" style="5" customWidth="1"/>
    <col min="12030" max="12030" width="33.6640625" style="5" customWidth="1"/>
    <col min="12031" max="12031" width="38.88671875" style="5" customWidth="1"/>
    <col min="12032" max="12032" width="32.33203125" style="5" customWidth="1"/>
    <col min="12033" max="12033" width="9.44140625" style="5" customWidth="1"/>
    <col min="12034" max="12034" width="11.88671875" style="5" customWidth="1"/>
    <col min="12035" max="12035" width="12.6640625" style="5" customWidth="1"/>
    <col min="12036" max="12036" width="14.77734375" style="5" customWidth="1"/>
    <col min="12037" max="12037" width="13.5546875" style="5" customWidth="1"/>
    <col min="12038" max="12282" width="11.44140625" style="5"/>
    <col min="12283" max="12283" width="8.109375" style="5" customWidth="1"/>
    <col min="12284" max="12284" width="47" style="5" customWidth="1"/>
    <col min="12285" max="12285" width="12.44140625" style="5" customWidth="1"/>
    <col min="12286" max="12286" width="33.6640625" style="5" customWidth="1"/>
    <col min="12287" max="12287" width="38.88671875" style="5" customWidth="1"/>
    <col min="12288" max="12288" width="32.33203125" style="5" customWidth="1"/>
    <col min="12289" max="12289" width="9.44140625" style="5" customWidth="1"/>
    <col min="12290" max="12290" width="11.88671875" style="5" customWidth="1"/>
    <col min="12291" max="12291" width="12.6640625" style="5" customWidth="1"/>
    <col min="12292" max="12292" width="14.77734375" style="5" customWidth="1"/>
    <col min="12293" max="12293" width="13.5546875" style="5" customWidth="1"/>
    <col min="12294" max="12538" width="11.44140625" style="5"/>
    <col min="12539" max="12539" width="8.109375" style="5" customWidth="1"/>
    <col min="12540" max="12540" width="47" style="5" customWidth="1"/>
    <col min="12541" max="12541" width="12.44140625" style="5" customWidth="1"/>
    <col min="12542" max="12542" width="33.6640625" style="5" customWidth="1"/>
    <col min="12543" max="12543" width="38.88671875" style="5" customWidth="1"/>
    <col min="12544" max="12544" width="32.33203125" style="5" customWidth="1"/>
    <col min="12545" max="12545" width="9.44140625" style="5" customWidth="1"/>
    <col min="12546" max="12546" width="11.88671875" style="5" customWidth="1"/>
    <col min="12547" max="12547" width="12.6640625" style="5" customWidth="1"/>
    <col min="12548" max="12548" width="14.77734375" style="5" customWidth="1"/>
    <col min="12549" max="12549" width="13.5546875" style="5" customWidth="1"/>
    <col min="12550" max="12794" width="11.44140625" style="5"/>
    <col min="12795" max="12795" width="8.109375" style="5" customWidth="1"/>
    <col min="12796" max="12796" width="47" style="5" customWidth="1"/>
    <col min="12797" max="12797" width="12.44140625" style="5" customWidth="1"/>
    <col min="12798" max="12798" width="33.6640625" style="5" customWidth="1"/>
    <col min="12799" max="12799" width="38.88671875" style="5" customWidth="1"/>
    <col min="12800" max="12800" width="32.33203125" style="5" customWidth="1"/>
    <col min="12801" max="12801" width="9.44140625" style="5" customWidth="1"/>
    <col min="12802" max="12802" width="11.88671875" style="5" customWidth="1"/>
    <col min="12803" max="12803" width="12.6640625" style="5" customWidth="1"/>
    <col min="12804" max="12804" width="14.77734375" style="5" customWidth="1"/>
    <col min="12805" max="12805" width="13.5546875" style="5" customWidth="1"/>
    <col min="12806" max="13050" width="11.44140625" style="5"/>
    <col min="13051" max="13051" width="8.109375" style="5" customWidth="1"/>
    <col min="13052" max="13052" width="47" style="5" customWidth="1"/>
    <col min="13053" max="13053" width="12.44140625" style="5" customWidth="1"/>
    <col min="13054" max="13054" width="33.6640625" style="5" customWidth="1"/>
    <col min="13055" max="13055" width="38.88671875" style="5" customWidth="1"/>
    <col min="13056" max="13056" width="32.33203125" style="5" customWidth="1"/>
    <col min="13057" max="13057" width="9.44140625" style="5" customWidth="1"/>
    <col min="13058" max="13058" width="11.88671875" style="5" customWidth="1"/>
    <col min="13059" max="13059" width="12.6640625" style="5" customWidth="1"/>
    <col min="13060" max="13060" width="14.77734375" style="5" customWidth="1"/>
    <col min="13061" max="13061" width="13.5546875" style="5" customWidth="1"/>
    <col min="13062" max="13306" width="11.44140625" style="5"/>
    <col min="13307" max="13307" width="8.109375" style="5" customWidth="1"/>
    <col min="13308" max="13308" width="47" style="5" customWidth="1"/>
    <col min="13309" max="13309" width="12.44140625" style="5" customWidth="1"/>
    <col min="13310" max="13310" width="33.6640625" style="5" customWidth="1"/>
    <col min="13311" max="13311" width="38.88671875" style="5" customWidth="1"/>
    <col min="13312" max="13312" width="32.33203125" style="5" customWidth="1"/>
    <col min="13313" max="13313" width="9.44140625" style="5" customWidth="1"/>
    <col min="13314" max="13314" width="11.88671875" style="5" customWidth="1"/>
    <col min="13315" max="13315" width="12.6640625" style="5" customWidth="1"/>
    <col min="13316" max="13316" width="14.77734375" style="5" customWidth="1"/>
    <col min="13317" max="13317" width="13.5546875" style="5" customWidth="1"/>
    <col min="13318" max="13562" width="11.44140625" style="5"/>
    <col min="13563" max="13563" width="8.109375" style="5" customWidth="1"/>
    <col min="13564" max="13564" width="47" style="5" customWidth="1"/>
    <col min="13565" max="13565" width="12.44140625" style="5" customWidth="1"/>
    <col min="13566" max="13566" width="33.6640625" style="5" customWidth="1"/>
    <col min="13567" max="13567" width="38.88671875" style="5" customWidth="1"/>
    <col min="13568" max="13568" width="32.33203125" style="5" customWidth="1"/>
    <col min="13569" max="13569" width="9.44140625" style="5" customWidth="1"/>
    <col min="13570" max="13570" width="11.88671875" style="5" customWidth="1"/>
    <col min="13571" max="13571" width="12.6640625" style="5" customWidth="1"/>
    <col min="13572" max="13572" width="14.77734375" style="5" customWidth="1"/>
    <col min="13573" max="13573" width="13.5546875" style="5" customWidth="1"/>
    <col min="13574" max="13818" width="11.44140625" style="5"/>
    <col min="13819" max="13819" width="8.109375" style="5" customWidth="1"/>
    <col min="13820" max="13820" width="47" style="5" customWidth="1"/>
    <col min="13821" max="13821" width="12.44140625" style="5" customWidth="1"/>
    <col min="13822" max="13822" width="33.6640625" style="5" customWidth="1"/>
    <col min="13823" max="13823" width="38.88671875" style="5" customWidth="1"/>
    <col min="13824" max="13824" width="32.33203125" style="5" customWidth="1"/>
    <col min="13825" max="13825" width="9.44140625" style="5" customWidth="1"/>
    <col min="13826" max="13826" width="11.88671875" style="5" customWidth="1"/>
    <col min="13827" max="13827" width="12.6640625" style="5" customWidth="1"/>
    <col min="13828" max="13828" width="14.77734375" style="5" customWidth="1"/>
    <col min="13829" max="13829" width="13.5546875" style="5" customWidth="1"/>
    <col min="13830" max="14074" width="11.44140625" style="5"/>
    <col min="14075" max="14075" width="8.109375" style="5" customWidth="1"/>
    <col min="14076" max="14076" width="47" style="5" customWidth="1"/>
    <col min="14077" max="14077" width="12.44140625" style="5" customWidth="1"/>
    <col min="14078" max="14078" width="33.6640625" style="5" customWidth="1"/>
    <col min="14079" max="14079" width="38.88671875" style="5" customWidth="1"/>
    <col min="14080" max="14080" width="32.33203125" style="5" customWidth="1"/>
    <col min="14081" max="14081" width="9.44140625" style="5" customWidth="1"/>
    <col min="14082" max="14082" width="11.88671875" style="5" customWidth="1"/>
    <col min="14083" max="14083" width="12.6640625" style="5" customWidth="1"/>
    <col min="14084" max="14084" width="14.77734375" style="5" customWidth="1"/>
    <col min="14085" max="14085" width="13.5546875" style="5" customWidth="1"/>
    <col min="14086" max="14330" width="11.44140625" style="5"/>
    <col min="14331" max="14331" width="8.109375" style="5" customWidth="1"/>
    <col min="14332" max="14332" width="47" style="5" customWidth="1"/>
    <col min="14333" max="14333" width="12.44140625" style="5" customWidth="1"/>
    <col min="14334" max="14334" width="33.6640625" style="5" customWidth="1"/>
    <col min="14335" max="14335" width="38.88671875" style="5" customWidth="1"/>
    <col min="14336" max="14336" width="32.33203125" style="5" customWidth="1"/>
    <col min="14337" max="14337" width="9.44140625" style="5" customWidth="1"/>
    <col min="14338" max="14338" width="11.88671875" style="5" customWidth="1"/>
    <col min="14339" max="14339" width="12.6640625" style="5" customWidth="1"/>
    <col min="14340" max="14340" width="14.77734375" style="5" customWidth="1"/>
    <col min="14341" max="14341" width="13.5546875" style="5" customWidth="1"/>
    <col min="14342" max="14586" width="11.44140625" style="5"/>
    <col min="14587" max="14587" width="8.109375" style="5" customWidth="1"/>
    <col min="14588" max="14588" width="47" style="5" customWidth="1"/>
    <col min="14589" max="14589" width="12.44140625" style="5" customWidth="1"/>
    <col min="14590" max="14590" width="33.6640625" style="5" customWidth="1"/>
    <col min="14591" max="14591" width="38.88671875" style="5" customWidth="1"/>
    <col min="14592" max="14592" width="32.33203125" style="5" customWidth="1"/>
    <col min="14593" max="14593" width="9.44140625" style="5" customWidth="1"/>
    <col min="14594" max="14594" width="11.88671875" style="5" customWidth="1"/>
    <col min="14595" max="14595" width="12.6640625" style="5" customWidth="1"/>
    <col min="14596" max="14596" width="14.77734375" style="5" customWidth="1"/>
    <col min="14597" max="14597" width="13.5546875" style="5" customWidth="1"/>
    <col min="14598" max="14842" width="11.44140625" style="5"/>
    <col min="14843" max="14843" width="8.109375" style="5" customWidth="1"/>
    <col min="14844" max="14844" width="47" style="5" customWidth="1"/>
    <col min="14845" max="14845" width="12.44140625" style="5" customWidth="1"/>
    <col min="14846" max="14846" width="33.6640625" style="5" customWidth="1"/>
    <col min="14847" max="14847" width="38.88671875" style="5" customWidth="1"/>
    <col min="14848" max="14848" width="32.33203125" style="5" customWidth="1"/>
    <col min="14849" max="14849" width="9.44140625" style="5" customWidth="1"/>
    <col min="14850" max="14850" width="11.88671875" style="5" customWidth="1"/>
    <col min="14851" max="14851" width="12.6640625" style="5" customWidth="1"/>
    <col min="14852" max="14852" width="14.77734375" style="5" customWidth="1"/>
    <col min="14853" max="14853" width="13.5546875" style="5" customWidth="1"/>
    <col min="14854" max="15098" width="11.44140625" style="5"/>
    <col min="15099" max="15099" width="8.109375" style="5" customWidth="1"/>
    <col min="15100" max="15100" width="47" style="5" customWidth="1"/>
    <col min="15101" max="15101" width="12.44140625" style="5" customWidth="1"/>
    <col min="15102" max="15102" width="33.6640625" style="5" customWidth="1"/>
    <col min="15103" max="15103" width="38.88671875" style="5" customWidth="1"/>
    <col min="15104" max="15104" width="32.33203125" style="5" customWidth="1"/>
    <col min="15105" max="15105" width="9.44140625" style="5" customWidth="1"/>
    <col min="15106" max="15106" width="11.88671875" style="5" customWidth="1"/>
    <col min="15107" max="15107" width="12.6640625" style="5" customWidth="1"/>
    <col min="15108" max="15108" width="14.77734375" style="5" customWidth="1"/>
    <col min="15109" max="15109" width="13.5546875" style="5" customWidth="1"/>
    <col min="15110" max="15354" width="11.44140625" style="5"/>
    <col min="15355" max="15355" width="8.109375" style="5" customWidth="1"/>
    <col min="15356" max="15356" width="47" style="5" customWidth="1"/>
    <col min="15357" max="15357" width="12.44140625" style="5" customWidth="1"/>
    <col min="15358" max="15358" width="33.6640625" style="5" customWidth="1"/>
    <col min="15359" max="15359" width="38.88671875" style="5" customWidth="1"/>
    <col min="15360" max="15360" width="32.33203125" style="5" customWidth="1"/>
    <col min="15361" max="15361" width="9.44140625" style="5" customWidth="1"/>
    <col min="15362" max="15362" width="11.88671875" style="5" customWidth="1"/>
    <col min="15363" max="15363" width="12.6640625" style="5" customWidth="1"/>
    <col min="15364" max="15364" width="14.77734375" style="5" customWidth="1"/>
    <col min="15365" max="15365" width="13.5546875" style="5" customWidth="1"/>
    <col min="15366" max="15610" width="11.44140625" style="5"/>
    <col min="15611" max="15611" width="8.109375" style="5" customWidth="1"/>
    <col min="15612" max="15612" width="47" style="5" customWidth="1"/>
    <col min="15613" max="15613" width="12.44140625" style="5" customWidth="1"/>
    <col min="15614" max="15614" width="33.6640625" style="5" customWidth="1"/>
    <col min="15615" max="15615" width="38.88671875" style="5" customWidth="1"/>
    <col min="15616" max="15616" width="32.33203125" style="5" customWidth="1"/>
    <col min="15617" max="15617" width="9.44140625" style="5" customWidth="1"/>
    <col min="15618" max="15618" width="11.88671875" style="5" customWidth="1"/>
    <col min="15619" max="15619" width="12.6640625" style="5" customWidth="1"/>
    <col min="15620" max="15620" width="14.77734375" style="5" customWidth="1"/>
    <col min="15621" max="15621" width="13.5546875" style="5" customWidth="1"/>
    <col min="15622" max="15866" width="11.44140625" style="5"/>
    <col min="15867" max="15867" width="8.109375" style="5" customWidth="1"/>
    <col min="15868" max="15868" width="47" style="5" customWidth="1"/>
    <col min="15869" max="15869" width="12.44140625" style="5" customWidth="1"/>
    <col min="15870" max="15870" width="33.6640625" style="5" customWidth="1"/>
    <col min="15871" max="15871" width="38.88671875" style="5" customWidth="1"/>
    <col min="15872" max="15872" width="32.33203125" style="5" customWidth="1"/>
    <col min="15873" max="15873" width="9.44140625" style="5" customWidth="1"/>
    <col min="15874" max="15874" width="11.88671875" style="5" customWidth="1"/>
    <col min="15875" max="15875" width="12.6640625" style="5" customWidth="1"/>
    <col min="15876" max="15876" width="14.77734375" style="5" customWidth="1"/>
    <col min="15877" max="15877" width="13.5546875" style="5" customWidth="1"/>
    <col min="15878" max="16122" width="11.44140625" style="5"/>
    <col min="16123" max="16123" width="8.109375" style="5" customWidth="1"/>
    <col min="16124" max="16124" width="47" style="5" customWidth="1"/>
    <col min="16125" max="16125" width="12.44140625" style="5" customWidth="1"/>
    <col min="16126" max="16126" width="33.6640625" style="5" customWidth="1"/>
    <col min="16127" max="16127" width="38.88671875" style="5" customWidth="1"/>
    <col min="16128" max="16128" width="32.33203125" style="5" customWidth="1"/>
    <col min="16129" max="16129" width="9.44140625" style="5" customWidth="1"/>
    <col min="16130" max="16130" width="11.88671875" style="5" customWidth="1"/>
    <col min="16131" max="16131" width="12.6640625" style="5" customWidth="1"/>
    <col min="16132" max="16132" width="14.77734375" style="5" customWidth="1"/>
    <col min="16133" max="16133" width="13.5546875" style="5" customWidth="1"/>
    <col min="16134" max="16384" width="11.44140625" style="5"/>
  </cols>
  <sheetData>
    <row r="1" spans="1:6" ht="15.6" x14ac:dyDescent="0.3">
      <c r="A1" s="86" t="s">
        <v>212</v>
      </c>
      <c r="B1" s="87"/>
      <c r="C1" s="87"/>
      <c r="D1" s="87"/>
      <c r="E1" s="87"/>
      <c r="F1" s="87"/>
    </row>
    <row r="2" spans="1:6" s="1" customFormat="1" ht="19.8" x14ac:dyDescent="0.4">
      <c r="A2" s="96" t="s">
        <v>0</v>
      </c>
      <c r="B2" s="96" t="s">
        <v>1</v>
      </c>
      <c r="C2" s="96" t="s">
        <v>2</v>
      </c>
      <c r="D2" s="96" t="s">
        <v>214</v>
      </c>
      <c r="E2" s="96"/>
      <c r="F2" s="33" t="s">
        <v>213</v>
      </c>
    </row>
    <row r="3" spans="1:6" s="1" customFormat="1" ht="19.8" x14ac:dyDescent="0.4">
      <c r="A3" s="96"/>
      <c r="B3" s="96"/>
      <c r="C3" s="96"/>
      <c r="D3" s="33" t="s">
        <v>215</v>
      </c>
      <c r="E3" s="34" t="s">
        <v>216</v>
      </c>
      <c r="F3" s="33"/>
    </row>
    <row r="4" spans="1:6" ht="15.6" x14ac:dyDescent="0.3">
      <c r="A4" s="7">
        <v>1</v>
      </c>
      <c r="B4" s="8" t="s">
        <v>32</v>
      </c>
      <c r="C4" s="8">
        <v>80046281</v>
      </c>
      <c r="D4" s="8"/>
      <c r="E4" s="16"/>
      <c r="F4" s="8" t="s">
        <v>4</v>
      </c>
    </row>
    <row r="5" spans="1:6" ht="15.6" x14ac:dyDescent="0.3">
      <c r="A5" s="7">
        <v>2</v>
      </c>
      <c r="B5" s="11" t="s">
        <v>60</v>
      </c>
      <c r="C5" s="11">
        <v>50000002</v>
      </c>
      <c r="D5" s="11"/>
      <c r="E5" s="16"/>
      <c r="F5" s="11" t="s">
        <v>61</v>
      </c>
    </row>
    <row r="6" spans="1:6" s="3" customFormat="1" ht="15.6" x14ac:dyDescent="0.3">
      <c r="A6" s="7">
        <v>3</v>
      </c>
      <c r="B6" s="8" t="s">
        <v>91</v>
      </c>
      <c r="C6" s="9">
        <v>5238143</v>
      </c>
      <c r="D6" s="9"/>
      <c r="E6" s="17"/>
      <c r="F6" s="8" t="s">
        <v>79</v>
      </c>
    </row>
    <row r="7" spans="1:6" ht="15.6" x14ac:dyDescent="0.3">
      <c r="A7" s="7">
        <v>4</v>
      </c>
      <c r="B7" s="9" t="s">
        <v>111</v>
      </c>
      <c r="C7" s="9">
        <v>80020234</v>
      </c>
      <c r="D7" s="9"/>
      <c r="E7" s="17"/>
      <c r="F7" s="9" t="s">
        <v>112</v>
      </c>
    </row>
    <row r="8" spans="1:6" ht="15.6" x14ac:dyDescent="0.3">
      <c r="A8" s="7">
        <v>5</v>
      </c>
      <c r="B8" s="11" t="s">
        <v>122</v>
      </c>
      <c r="C8" s="11">
        <v>6909064</v>
      </c>
      <c r="D8" s="11"/>
      <c r="E8" s="16"/>
      <c r="F8" s="8" t="s">
        <v>9</v>
      </c>
    </row>
    <row r="9" spans="1:6" ht="15.6" x14ac:dyDescent="0.3">
      <c r="A9" s="7">
        <v>6</v>
      </c>
      <c r="B9" s="8" t="s">
        <v>108</v>
      </c>
      <c r="C9" s="8">
        <v>80099734</v>
      </c>
      <c r="D9" s="8"/>
      <c r="E9" s="16"/>
      <c r="F9" s="8" t="s">
        <v>44</v>
      </c>
    </row>
    <row r="10" spans="1:6" ht="18" customHeight="1" x14ac:dyDescent="0.3">
      <c r="A10" s="7">
        <v>7</v>
      </c>
      <c r="B10" s="8" t="s">
        <v>124</v>
      </c>
      <c r="C10" s="8">
        <v>80137504</v>
      </c>
      <c r="D10" s="8"/>
      <c r="E10" s="16"/>
      <c r="F10" s="8" t="s">
        <v>103</v>
      </c>
    </row>
    <row r="11" spans="1:6" s="3" customFormat="1" ht="16.2" customHeight="1" x14ac:dyDescent="0.3">
      <c r="A11" s="7">
        <v>8</v>
      </c>
      <c r="B11" s="8" t="s">
        <v>164</v>
      </c>
      <c r="C11" s="8">
        <v>80099767</v>
      </c>
      <c r="D11" s="8"/>
      <c r="E11" s="16"/>
      <c r="F11" s="8" t="s">
        <v>4</v>
      </c>
    </row>
    <row r="12" spans="1:6" ht="15.6" x14ac:dyDescent="0.3">
      <c r="A12" s="7">
        <v>9</v>
      </c>
      <c r="B12" s="9" t="s">
        <v>167</v>
      </c>
      <c r="C12" s="9">
        <v>80028487</v>
      </c>
      <c r="D12" s="9"/>
      <c r="E12" s="17"/>
      <c r="F12" s="9" t="s">
        <v>18</v>
      </c>
    </row>
    <row r="13" spans="1:6" ht="15.6" x14ac:dyDescent="0.3">
      <c r="A13" s="7"/>
      <c r="B13" s="25" t="s">
        <v>374</v>
      </c>
      <c r="C13" s="26">
        <v>9307901</v>
      </c>
      <c r="D13" s="44"/>
      <c r="E13" s="24"/>
      <c r="F13" s="6" t="s">
        <v>375</v>
      </c>
    </row>
    <row r="14" spans="1:6" ht="15.6" x14ac:dyDescent="0.3">
      <c r="A14" s="7"/>
      <c r="B14" s="11" t="s">
        <v>377</v>
      </c>
      <c r="C14" s="11">
        <v>6717002</v>
      </c>
      <c r="D14" s="42"/>
      <c r="E14" s="16"/>
      <c r="F14" s="11"/>
    </row>
    <row r="15" spans="1:6" ht="15.6" x14ac:dyDescent="0.3">
      <c r="A15" s="7">
        <v>89</v>
      </c>
      <c r="B15" s="8" t="s">
        <v>82</v>
      </c>
      <c r="C15" s="8">
        <v>3344283</v>
      </c>
      <c r="D15" s="42"/>
      <c r="E15" s="16"/>
      <c r="F15" s="8" t="s">
        <v>83</v>
      </c>
    </row>
    <row r="16" spans="1:6" ht="15.6" x14ac:dyDescent="0.3">
      <c r="A16" s="7">
        <v>162</v>
      </c>
      <c r="B16" s="9" t="s">
        <v>154</v>
      </c>
      <c r="C16" s="9">
        <v>80114536</v>
      </c>
      <c r="D16" s="43"/>
      <c r="E16" s="17"/>
      <c r="F16" s="9" t="s">
        <v>44</v>
      </c>
    </row>
    <row r="17" spans="1:6" x14ac:dyDescent="0.3">
      <c r="B17" s="5" t="s">
        <v>386</v>
      </c>
      <c r="C17" s="5">
        <v>6716947</v>
      </c>
    </row>
    <row r="18" spans="1:6" ht="15" customHeight="1" x14ac:dyDescent="0.3">
      <c r="A18" s="7">
        <v>73</v>
      </c>
      <c r="B18" s="35" t="s">
        <v>353</v>
      </c>
      <c r="C18" s="35"/>
      <c r="D18" s="46"/>
      <c r="E18" s="36"/>
      <c r="F18" s="35" t="s">
        <v>348</v>
      </c>
    </row>
  </sheetData>
  <mergeCells count="5">
    <mergeCell ref="A1:F1"/>
    <mergeCell ref="A2:A3"/>
    <mergeCell ref="B2:B3"/>
    <mergeCell ref="C2:C3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0C35-80B5-42DC-B27D-E53C64882AD3}">
  <dimension ref="C1:O1"/>
  <sheetViews>
    <sheetView topLeftCell="A45" workbookViewId="0">
      <selection activeCell="A54" sqref="A54"/>
    </sheetView>
  </sheetViews>
  <sheetFormatPr baseColWidth="10" defaultRowHeight="13.8" x14ac:dyDescent="0.25"/>
  <cols>
    <col min="1" max="2" width="11.5546875" style="37"/>
    <col min="3" max="5" width="11.5546875" style="38"/>
    <col min="6" max="7" width="11.5546875" style="37"/>
    <col min="8" max="9" width="11.5546875" style="39"/>
    <col min="10" max="11" width="11.5546875" style="37"/>
    <col min="12" max="13" width="11.5546875" style="40"/>
    <col min="14" max="14" width="11.5546875" style="37"/>
    <col min="15" max="15" width="11.5546875" style="40"/>
    <col min="16" max="16384" width="11.5546875" style="37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SANTA RITA </vt:lpstr>
      <vt:lpstr>KM 32</vt:lpstr>
      <vt:lpstr>KATUETE</vt:lpstr>
      <vt:lpstr>COMISIONES </vt:lpstr>
      <vt:lpstr>SUSPENSO SIN MOV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Daniela Zanini Pecher</cp:lastModifiedBy>
  <dcterms:created xsi:type="dcterms:W3CDTF">2026-02-18T16:19:58Z</dcterms:created>
  <dcterms:modified xsi:type="dcterms:W3CDTF">2026-03-09T17:21:43Z</dcterms:modified>
</cp:coreProperties>
</file>